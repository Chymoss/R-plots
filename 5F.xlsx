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#MyCodes\Github\R-plots\"/>
    </mc:Choice>
  </mc:AlternateContent>
  <xr:revisionPtr revIDLastSave="0" documentId="13_ncr:1_{6A37F2A7-763A-4E9A-80C5-7DC6DAD09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H90" i="2" s="1"/>
  <c r="G7" i="2"/>
  <c r="G8" i="2"/>
  <c r="G9" i="2"/>
  <c r="G10" i="2"/>
  <c r="G11" i="2"/>
  <c r="G12" i="2"/>
  <c r="G13" i="2"/>
  <c r="H8" i="2" s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H58" i="2" s="1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H73" i="2" s="1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2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2" i="2"/>
  <c r="D17" i="2" s="1"/>
  <c r="H66" i="2" l="1"/>
  <c r="H18" i="2"/>
  <c r="H26" i="2"/>
  <c r="H14" i="2"/>
  <c r="D2" i="2"/>
  <c r="H97" i="2"/>
  <c r="H85" i="2"/>
  <c r="H61" i="2"/>
  <c r="H49" i="2"/>
  <c r="H37" i="2"/>
  <c r="H25" i="2"/>
  <c r="H36" i="2"/>
  <c r="H11" i="2"/>
  <c r="H10" i="2"/>
  <c r="H54" i="2"/>
  <c r="H78" i="2"/>
  <c r="H2" i="2"/>
  <c r="H92" i="2"/>
  <c r="H74" i="2"/>
  <c r="H59" i="2"/>
  <c r="H42" i="2"/>
  <c r="H24" i="2"/>
  <c r="H6" i="2"/>
  <c r="H72" i="2"/>
  <c r="H57" i="2"/>
  <c r="H38" i="2"/>
  <c r="H22" i="2"/>
  <c r="H3" i="2"/>
  <c r="H5" i="2"/>
  <c r="H104" i="2"/>
  <c r="H86" i="2"/>
  <c r="H71" i="2"/>
  <c r="H56" i="2"/>
  <c r="H20" i="2"/>
  <c r="H89" i="2"/>
  <c r="H102" i="2"/>
  <c r="H70" i="2"/>
  <c r="H101" i="2"/>
  <c r="H84" i="2"/>
  <c r="H69" i="2"/>
  <c r="H53" i="2"/>
  <c r="H35" i="2"/>
  <c r="H17" i="2"/>
  <c r="H98" i="2"/>
  <c r="H83" i="2"/>
  <c r="H68" i="2"/>
  <c r="H50" i="2"/>
  <c r="H34" i="2"/>
  <c r="H41" i="2"/>
  <c r="H105" i="2"/>
  <c r="H82" i="2"/>
  <c r="H32" i="2"/>
  <c r="H13" i="2"/>
  <c r="H81" i="2"/>
  <c r="H30" i="2"/>
  <c r="H12" i="2"/>
  <c r="H96" i="2"/>
  <c r="H48" i="2"/>
  <c r="H95" i="2"/>
  <c r="H80" i="2"/>
  <c r="H62" i="2"/>
  <c r="H47" i="2"/>
  <c r="H29" i="2"/>
  <c r="H23" i="2"/>
  <c r="H65" i="2"/>
  <c r="H94" i="2"/>
  <c r="H46" i="2"/>
  <c r="H93" i="2"/>
  <c r="H77" i="2"/>
  <c r="H60" i="2"/>
  <c r="H44" i="2"/>
  <c r="H45" i="2"/>
  <c r="H33" i="2"/>
  <c r="H21" i="2"/>
  <c r="H9" i="2"/>
  <c r="H103" i="2"/>
  <c r="H91" i="2"/>
  <c r="H79" i="2"/>
  <c r="H67" i="2"/>
  <c r="H55" i="2"/>
  <c r="H43" i="2"/>
  <c r="H31" i="2"/>
  <c r="H19" i="2"/>
  <c r="H7" i="2"/>
  <c r="H100" i="2"/>
  <c r="H88" i="2"/>
  <c r="H76" i="2"/>
  <c r="H64" i="2"/>
  <c r="H52" i="2"/>
  <c r="H40" i="2"/>
  <c r="H28" i="2"/>
  <c r="H16" i="2"/>
  <c r="H4" i="2"/>
  <c r="H99" i="2"/>
  <c r="H87" i="2"/>
  <c r="H75" i="2"/>
  <c r="H63" i="2"/>
  <c r="H51" i="2"/>
  <c r="H39" i="2"/>
  <c r="H27" i="2"/>
  <c r="H15" i="2"/>
  <c r="I1" i="2" l="1"/>
</calcChain>
</file>

<file path=xl/sharedStrings.xml><?xml version="1.0" encoding="utf-8"?>
<sst xmlns="http://schemas.openxmlformats.org/spreadsheetml/2006/main" count="8" uniqueCount="5">
  <si>
    <t>relative</t>
    <phoneticPr fontId="1" type="noConversion"/>
  </si>
  <si>
    <t>subtract background</t>
    <phoneticPr fontId="1" type="noConversion"/>
  </si>
  <si>
    <t>0BE</t>
    <phoneticPr fontId="1" type="noConversion"/>
  </si>
  <si>
    <t>50BE 17uM</t>
    <phoneticPr fontId="1" type="noConversion"/>
  </si>
  <si>
    <t>Distance_(microns)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</si>
</sst>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BF60-E63E-4279-9FF4-88A17AA99504}">
  <dimension ref="A1:I105"/>
  <sheetViews>
    <sheetView tabSelected="1" workbookViewId="0">
      <selection activeCell="F10" sqref="F10"/>
    </sheetView>
  </sheetViews>
  <sheetFormatPr defaultRowHeight="13.8" x14ac:dyDescent="0.25"/>
  <sheetData>
    <row r="1" spans="1:9" x14ac:dyDescent="0.25">
      <c r="A1" t="s">
        <v>4</v>
      </c>
      <c r="B1" t="s">
        <v>2</v>
      </c>
      <c r="C1" t="s">
        <v>1</v>
      </c>
      <c r="D1" t="s">
        <v>0</v>
      </c>
      <c r="E1" t="s">
        <v>4</v>
      </c>
      <c r="F1" t="s">
        <v>3</v>
      </c>
      <c r="G1" t="s">
        <v>1</v>
      </c>
      <c r="H1" t="s">
        <v>0</v>
      </c>
      <c r="I1">
        <f>MIN(D:D,H:H)</f>
        <v>0.57649156105045618</v>
      </c>
    </row>
    <row r="2" spans="1:9" x14ac:dyDescent="0.25">
      <c r="A2">
        <v>0</v>
      </c>
      <c r="B2">
        <v>134</v>
      </c>
      <c r="C2">
        <f>B2-102</f>
        <v>32</v>
      </c>
      <c r="D2">
        <f>C2/MAX(C:C)</f>
        <v>0.70952807513902305</v>
      </c>
      <c r="E2">
        <v>0</v>
      </c>
      <c r="F2">
        <v>203</v>
      </c>
      <c r="G2">
        <f>F2-118</f>
        <v>85</v>
      </c>
      <c r="H2">
        <f>G2/MAX(G:G)</f>
        <v>0.75171944768961252</v>
      </c>
    </row>
    <row r="3" spans="1:9" x14ac:dyDescent="0.25">
      <c r="A3">
        <v>0.16200000000000001</v>
      </c>
      <c r="B3">
        <v>130.93790000000001</v>
      </c>
      <c r="C3">
        <f t="shared" ref="C3:C66" si="0">B3-102</f>
        <v>28.937900000000013</v>
      </c>
      <c r="D3">
        <f t="shared" ref="D3:D66" si="1">C3/MAX(C:C)</f>
        <v>0.64163289017392322</v>
      </c>
      <c r="E3">
        <v>0.16200000000000001</v>
      </c>
      <c r="F3">
        <v>201.06559999999999</v>
      </c>
      <c r="G3">
        <f t="shared" ref="G3:G66" si="2">F3-118</f>
        <v>83.065599999999989</v>
      </c>
      <c r="H3">
        <f t="shared" ref="H3:H66" si="3">G3/MAX(G:G)</f>
        <v>0.73461208181183846</v>
      </c>
    </row>
    <row r="4" spans="1:9" x14ac:dyDescent="0.25">
      <c r="A4">
        <v>0.32390000000000002</v>
      </c>
      <c r="B4">
        <v>137.16309999999999</v>
      </c>
      <c r="C4">
        <f t="shared" si="0"/>
        <v>35.163099999999986</v>
      </c>
      <c r="D4">
        <f t="shared" si="1"/>
        <v>0.77966270809128035</v>
      </c>
      <c r="E4">
        <v>0.32390000000000002</v>
      </c>
      <c r="F4">
        <v>202.8835</v>
      </c>
      <c r="G4">
        <f t="shared" si="2"/>
        <v>84.883499999999998</v>
      </c>
      <c r="H4">
        <f t="shared" si="3"/>
        <v>0.75068914985836732</v>
      </c>
    </row>
    <row r="5" spans="1:9" x14ac:dyDescent="0.25">
      <c r="A5">
        <v>0.4859</v>
      </c>
      <c r="B5">
        <v>137.59970000000001</v>
      </c>
      <c r="C5">
        <f t="shared" si="0"/>
        <v>35.599700000000013</v>
      </c>
      <c r="D5">
        <f t="shared" si="1"/>
        <v>0.78934333176645899</v>
      </c>
      <c r="E5">
        <v>0.4859</v>
      </c>
      <c r="F5">
        <v>204.7987</v>
      </c>
      <c r="G5">
        <f t="shared" si="2"/>
        <v>86.798699999999997</v>
      </c>
      <c r="H5">
        <f t="shared" si="3"/>
        <v>0.76762671557854545</v>
      </c>
    </row>
    <row r="6" spans="1:9" x14ac:dyDescent="0.25">
      <c r="A6">
        <v>0.64790000000000003</v>
      </c>
      <c r="B6">
        <v>141.83420000000001</v>
      </c>
      <c r="C6">
        <f t="shared" si="0"/>
        <v>39.83420000000001</v>
      </c>
      <c r="D6">
        <f t="shared" si="1"/>
        <v>0.88323385158446499</v>
      </c>
      <c r="E6">
        <v>0.64790000000000003</v>
      </c>
      <c r="F6">
        <v>211.0513</v>
      </c>
      <c r="G6">
        <f t="shared" si="2"/>
        <v>93.051299999999998</v>
      </c>
      <c r="H6">
        <f t="shared" si="3"/>
        <v>0.82292319815059334</v>
      </c>
    </row>
    <row r="7" spans="1:9" x14ac:dyDescent="0.25">
      <c r="A7">
        <v>0.80979999999999996</v>
      </c>
      <c r="B7">
        <v>142.77459999999999</v>
      </c>
      <c r="C7">
        <f t="shared" si="0"/>
        <v>40.774599999999992</v>
      </c>
      <c r="D7">
        <f t="shared" si="1"/>
        <v>0.90408510789261265</v>
      </c>
      <c r="E7">
        <v>0.80979999999999996</v>
      </c>
      <c r="F7">
        <v>211.92699999999999</v>
      </c>
      <c r="G7">
        <f t="shared" si="2"/>
        <v>93.926999999999992</v>
      </c>
      <c r="H7">
        <f t="shared" si="3"/>
        <v>0.83066767721343793</v>
      </c>
    </row>
    <row r="8" spans="1:9" x14ac:dyDescent="0.25">
      <c r="A8">
        <v>0.9718</v>
      </c>
      <c r="B8">
        <v>140.10140000000001</v>
      </c>
      <c r="C8">
        <f t="shared" si="0"/>
        <v>38.101400000000012</v>
      </c>
      <c r="D8">
        <f t="shared" si="1"/>
        <v>0.84481290631568695</v>
      </c>
      <c r="E8">
        <v>0.9718</v>
      </c>
      <c r="F8">
        <v>212.93809999999999</v>
      </c>
      <c r="G8">
        <f t="shared" si="2"/>
        <v>94.938099999999991</v>
      </c>
      <c r="H8">
        <f t="shared" si="3"/>
        <v>0.83960960113766103</v>
      </c>
    </row>
    <row r="9" spans="1:9" x14ac:dyDescent="0.25">
      <c r="A9">
        <v>1.1337999999999999</v>
      </c>
      <c r="B9">
        <v>145.3656</v>
      </c>
      <c r="C9">
        <f t="shared" si="0"/>
        <v>43.365600000000001</v>
      </c>
      <c r="D9">
        <f t="shared" si="1"/>
        <v>0.96153470922652551</v>
      </c>
      <c r="E9">
        <v>1.1337999999999999</v>
      </c>
      <c r="F9">
        <v>214.87620000000001</v>
      </c>
      <c r="G9">
        <f t="shared" si="2"/>
        <v>96.876200000000011</v>
      </c>
      <c r="H9">
        <f t="shared" si="3"/>
        <v>0.85674968892080527</v>
      </c>
    </row>
    <row r="10" spans="1:9" x14ac:dyDescent="0.25">
      <c r="A10">
        <v>1.2958000000000001</v>
      </c>
      <c r="B10">
        <v>146.7834</v>
      </c>
      <c r="C10">
        <f t="shared" si="0"/>
        <v>44.7834</v>
      </c>
      <c r="D10">
        <f t="shared" si="1"/>
        <v>0.99297123750565386</v>
      </c>
      <c r="E10">
        <v>1.2958000000000001</v>
      </c>
      <c r="F10">
        <v>215.24469999999999</v>
      </c>
      <c r="G10">
        <f t="shared" si="2"/>
        <v>97.244699999999995</v>
      </c>
      <c r="H10">
        <f t="shared" si="3"/>
        <v>0.86000861382049476</v>
      </c>
    </row>
    <row r="11" spans="1:9" x14ac:dyDescent="0.25">
      <c r="A11">
        <v>1.4577</v>
      </c>
      <c r="B11">
        <v>140.97059999999999</v>
      </c>
      <c r="C11">
        <f t="shared" si="0"/>
        <v>38.97059999999999</v>
      </c>
      <c r="D11">
        <f t="shared" si="1"/>
        <v>0.86408546265665009</v>
      </c>
      <c r="E11">
        <v>1.4577</v>
      </c>
      <c r="F11">
        <v>211.8544</v>
      </c>
      <c r="G11">
        <f t="shared" si="2"/>
        <v>93.854399999999998</v>
      </c>
      <c r="H11">
        <f t="shared" si="3"/>
        <v>0.83002562036752903</v>
      </c>
    </row>
    <row r="12" spans="1:9" x14ac:dyDescent="0.25">
      <c r="A12">
        <v>1.6196999999999999</v>
      </c>
      <c r="B12">
        <v>137.02019999999999</v>
      </c>
      <c r="C12">
        <f t="shared" si="0"/>
        <v>35.020199999999988</v>
      </c>
      <c r="D12">
        <f t="shared" si="1"/>
        <v>0.77649422178073768</v>
      </c>
      <c r="E12">
        <v>1.6196999999999999</v>
      </c>
      <c r="F12">
        <v>212.8032</v>
      </c>
      <c r="G12">
        <f t="shared" si="2"/>
        <v>94.803200000000004</v>
      </c>
      <c r="H12">
        <f t="shared" si="3"/>
        <v>0.83841657815538673</v>
      </c>
    </row>
    <row r="13" spans="1:9" x14ac:dyDescent="0.25">
      <c r="A13">
        <v>1.7817000000000001</v>
      </c>
      <c r="B13">
        <v>135.52109999999999</v>
      </c>
      <c r="C13">
        <f t="shared" si="0"/>
        <v>33.52109999999999</v>
      </c>
      <c r="D13">
        <f t="shared" si="1"/>
        <v>0.74325504873570936</v>
      </c>
      <c r="E13">
        <v>1.7817000000000001</v>
      </c>
      <c r="F13">
        <v>213.02449999999999</v>
      </c>
      <c r="G13">
        <f t="shared" si="2"/>
        <v>95.024499999999989</v>
      </c>
      <c r="H13">
        <f t="shared" si="3"/>
        <v>0.84037370184684201</v>
      </c>
    </row>
    <row r="14" spans="1:9" x14ac:dyDescent="0.25">
      <c r="A14">
        <v>1.9436</v>
      </c>
      <c r="B14">
        <v>134.21940000000001</v>
      </c>
      <c r="C14">
        <f t="shared" si="0"/>
        <v>32.219400000000007</v>
      </c>
      <c r="D14">
        <f t="shared" si="1"/>
        <v>0.71439277700419512</v>
      </c>
      <c r="E14">
        <v>1.9436</v>
      </c>
      <c r="F14">
        <v>211.31020000000001</v>
      </c>
      <c r="G14">
        <f t="shared" si="2"/>
        <v>93.310200000000009</v>
      </c>
      <c r="H14">
        <f t="shared" si="3"/>
        <v>0.82521284715067389</v>
      </c>
    </row>
    <row r="15" spans="1:9" x14ac:dyDescent="0.25">
      <c r="A15">
        <v>2.1055999999999999</v>
      </c>
      <c r="B15">
        <v>135.10310000000001</v>
      </c>
      <c r="C15">
        <f t="shared" si="0"/>
        <v>33.103100000000012</v>
      </c>
      <c r="D15">
        <f t="shared" si="1"/>
        <v>0.7339868382542063</v>
      </c>
      <c r="E15">
        <v>2.1055999999999999</v>
      </c>
      <c r="F15">
        <v>207.6901</v>
      </c>
      <c r="G15">
        <f t="shared" si="2"/>
        <v>89.690100000000001</v>
      </c>
      <c r="H15">
        <f t="shared" si="3"/>
        <v>0.79319755806148362</v>
      </c>
    </row>
    <row r="16" spans="1:9" x14ac:dyDescent="0.25">
      <c r="A16">
        <v>2.2675999999999998</v>
      </c>
      <c r="B16">
        <v>134.8459</v>
      </c>
      <c r="C16">
        <f t="shared" si="0"/>
        <v>32.8459</v>
      </c>
      <c r="D16">
        <f t="shared" si="1"/>
        <v>0.72828400635027613</v>
      </c>
      <c r="E16">
        <v>2.2675999999999998</v>
      </c>
      <c r="F16">
        <v>206.83770000000001</v>
      </c>
      <c r="G16">
        <f t="shared" si="2"/>
        <v>88.837700000000012</v>
      </c>
      <c r="H16">
        <f t="shared" si="3"/>
        <v>0.78565913856488823</v>
      </c>
    </row>
    <row r="17" spans="1:8" x14ac:dyDescent="0.25">
      <c r="A17">
        <v>2.4295</v>
      </c>
      <c r="B17">
        <v>132.00239999999999</v>
      </c>
      <c r="C17">
        <f t="shared" si="0"/>
        <v>30.002399999999994</v>
      </c>
      <c r="D17">
        <f t="shared" si="1"/>
        <v>0.66523578504846936</v>
      </c>
      <c r="E17">
        <v>2.4295</v>
      </c>
      <c r="F17">
        <v>202.21090000000001</v>
      </c>
      <c r="G17">
        <f t="shared" si="2"/>
        <v>84.210900000000009</v>
      </c>
      <c r="H17">
        <f t="shared" si="3"/>
        <v>0.74474083808759051</v>
      </c>
    </row>
    <row r="18" spans="1:8" x14ac:dyDescent="0.25">
      <c r="A18">
        <v>2.5914999999999999</v>
      </c>
      <c r="B18">
        <v>131.28720000000001</v>
      </c>
      <c r="C18">
        <f t="shared" si="0"/>
        <v>29.287200000000013</v>
      </c>
      <c r="D18">
        <f t="shared" si="1"/>
        <v>0.64937783256911263</v>
      </c>
      <c r="E18">
        <v>2.5914999999999999</v>
      </c>
      <c r="F18">
        <v>200.77629999999999</v>
      </c>
      <c r="G18">
        <f t="shared" si="2"/>
        <v>82.776299999999992</v>
      </c>
      <c r="H18">
        <f t="shared" si="3"/>
        <v>0.7320535825622313</v>
      </c>
    </row>
    <row r="19" spans="1:8" x14ac:dyDescent="0.25">
      <c r="A19">
        <v>2.7534999999999998</v>
      </c>
      <c r="B19">
        <v>131.09880000000001</v>
      </c>
      <c r="C19">
        <f t="shared" si="0"/>
        <v>29.098800000000011</v>
      </c>
      <c r="D19">
        <f t="shared" si="1"/>
        <v>0.64520048602673163</v>
      </c>
      <c r="E19">
        <v>2.7534999999999998</v>
      </c>
      <c r="F19">
        <v>203.49250000000001</v>
      </c>
      <c r="G19">
        <f t="shared" si="2"/>
        <v>85.492500000000007</v>
      </c>
      <c r="H19">
        <f t="shared" si="3"/>
        <v>0.75607499860710825</v>
      </c>
    </row>
    <row r="20" spans="1:8" x14ac:dyDescent="0.25">
      <c r="A20">
        <v>2.9154</v>
      </c>
      <c r="B20">
        <v>129.57910000000001</v>
      </c>
      <c r="C20">
        <f t="shared" si="0"/>
        <v>27.579100000000011</v>
      </c>
      <c r="D20">
        <f t="shared" si="1"/>
        <v>0.61150455428333239</v>
      </c>
      <c r="E20">
        <v>2.9154</v>
      </c>
      <c r="F20">
        <v>201.1678</v>
      </c>
      <c r="G20">
        <f t="shared" si="2"/>
        <v>83.1678</v>
      </c>
      <c r="H20">
        <f t="shared" si="3"/>
        <v>0.7355159139007077</v>
      </c>
    </row>
    <row r="21" spans="1:8" x14ac:dyDescent="0.25">
      <c r="A21">
        <v>3.0773999999999999</v>
      </c>
      <c r="B21">
        <v>132.22540000000001</v>
      </c>
      <c r="C21">
        <f t="shared" si="0"/>
        <v>30.225400000000008</v>
      </c>
      <c r="D21">
        <f t="shared" si="1"/>
        <v>0.67018030882209478</v>
      </c>
      <c r="E21">
        <v>3.0773999999999999</v>
      </c>
      <c r="F21">
        <v>198.143</v>
      </c>
      <c r="G21">
        <f t="shared" si="2"/>
        <v>80.143000000000001</v>
      </c>
      <c r="H21">
        <f t="shared" si="3"/>
        <v>0.70876531407280718</v>
      </c>
    </row>
    <row r="22" spans="1:8" x14ac:dyDescent="0.25">
      <c r="A22">
        <v>3.2393999999999998</v>
      </c>
      <c r="B22">
        <v>133.39609999999999</v>
      </c>
      <c r="C22">
        <f t="shared" si="0"/>
        <v>31.39609999999999</v>
      </c>
      <c r="D22">
        <f t="shared" si="1"/>
        <v>0.69613794999600853</v>
      </c>
      <c r="E22">
        <v>3.2393999999999998</v>
      </c>
      <c r="F22">
        <v>201.9658</v>
      </c>
      <c r="G22">
        <f t="shared" si="2"/>
        <v>83.965800000000002</v>
      </c>
      <c r="H22">
        <f t="shared" si="3"/>
        <v>0.74257323295078193</v>
      </c>
    </row>
    <row r="23" spans="1:8" x14ac:dyDescent="0.25">
      <c r="A23">
        <v>3.4014000000000002</v>
      </c>
      <c r="B23">
        <v>132.8409</v>
      </c>
      <c r="C23">
        <f t="shared" si="0"/>
        <v>30.840900000000005</v>
      </c>
      <c r="D23">
        <f t="shared" si="1"/>
        <v>0.6838276378923468</v>
      </c>
      <c r="E23">
        <v>3.4014000000000002</v>
      </c>
      <c r="F23">
        <v>201.87450000000001</v>
      </c>
      <c r="G23">
        <f t="shared" si="2"/>
        <v>83.874500000000012</v>
      </c>
      <c r="H23">
        <f t="shared" si="3"/>
        <v>0.7417657978263813</v>
      </c>
    </row>
    <row r="24" spans="1:8" x14ac:dyDescent="0.25">
      <c r="A24">
        <v>3.5632999999999999</v>
      </c>
      <c r="B24">
        <v>131.47890000000001</v>
      </c>
      <c r="C24">
        <f t="shared" si="0"/>
        <v>29.47890000000001</v>
      </c>
      <c r="D24">
        <f t="shared" si="1"/>
        <v>0.65362834919424229</v>
      </c>
      <c r="E24">
        <v>3.5632999999999999</v>
      </c>
      <c r="F24">
        <v>198.98519999999999</v>
      </c>
      <c r="G24">
        <f t="shared" si="2"/>
        <v>80.985199999999992</v>
      </c>
      <c r="H24">
        <f t="shared" si="3"/>
        <v>0.71621352723567999</v>
      </c>
    </row>
    <row r="25" spans="1:8" x14ac:dyDescent="0.25">
      <c r="A25">
        <v>3.7252999999999998</v>
      </c>
      <c r="B25">
        <v>130.7139</v>
      </c>
      <c r="C25">
        <f t="shared" si="0"/>
        <v>28.713899999999995</v>
      </c>
      <c r="D25">
        <f t="shared" si="1"/>
        <v>0.63666619364794974</v>
      </c>
      <c r="E25">
        <v>3.7252999999999998</v>
      </c>
      <c r="F25">
        <v>198.31649999999999</v>
      </c>
      <c r="G25">
        <f t="shared" si="2"/>
        <v>80.316499999999991</v>
      </c>
      <c r="H25">
        <f t="shared" si="3"/>
        <v>0.71029970612191473</v>
      </c>
    </row>
    <row r="26" spans="1:8" x14ac:dyDescent="0.25">
      <c r="A26">
        <v>3.8873000000000002</v>
      </c>
      <c r="B26">
        <v>130.7243</v>
      </c>
      <c r="C26">
        <f t="shared" si="0"/>
        <v>28.724299999999999</v>
      </c>
      <c r="D26">
        <f t="shared" si="1"/>
        <v>0.63689679027237001</v>
      </c>
      <c r="E26">
        <v>3.8873000000000002</v>
      </c>
      <c r="F26">
        <v>196.92420000000001</v>
      </c>
      <c r="G26">
        <f t="shared" si="2"/>
        <v>78.924200000000013</v>
      </c>
      <c r="H26">
        <f t="shared" si="3"/>
        <v>0.69798654156875906</v>
      </c>
    </row>
    <row r="27" spans="1:8" x14ac:dyDescent="0.25">
      <c r="A27">
        <v>4.0491999999999999</v>
      </c>
      <c r="B27">
        <v>129.57069999999999</v>
      </c>
      <c r="C27">
        <f t="shared" si="0"/>
        <v>27.570699999999988</v>
      </c>
      <c r="D27">
        <f t="shared" si="1"/>
        <v>0.61131830316360791</v>
      </c>
      <c r="E27">
        <v>4.0491999999999999</v>
      </c>
      <c r="F27">
        <v>195.56309999999999</v>
      </c>
      <c r="G27">
        <f t="shared" si="2"/>
        <v>77.563099999999991</v>
      </c>
      <c r="H27">
        <f t="shared" si="3"/>
        <v>0.68594930227169615</v>
      </c>
    </row>
    <row r="28" spans="1:8" x14ac:dyDescent="0.25">
      <c r="A28">
        <v>4.2111999999999998</v>
      </c>
      <c r="B28">
        <v>130.7251</v>
      </c>
      <c r="C28">
        <f t="shared" si="0"/>
        <v>28.725099999999998</v>
      </c>
      <c r="D28">
        <f t="shared" si="1"/>
        <v>0.63691452847424845</v>
      </c>
      <c r="E28">
        <v>4.2111999999999998</v>
      </c>
      <c r="F28">
        <v>193.35919999999999</v>
      </c>
      <c r="G28">
        <f t="shared" si="2"/>
        <v>75.359199999999987</v>
      </c>
      <c r="H28">
        <f t="shared" si="3"/>
        <v>0.66645854355683565</v>
      </c>
    </row>
    <row r="29" spans="1:8" x14ac:dyDescent="0.25">
      <c r="A29">
        <v>4.3731999999999998</v>
      </c>
      <c r="B29">
        <v>132.29929999999999</v>
      </c>
      <c r="C29">
        <f t="shared" si="0"/>
        <v>30.299299999999988</v>
      </c>
      <c r="D29">
        <f t="shared" si="1"/>
        <v>0.67181887522061856</v>
      </c>
      <c r="E29">
        <v>4.3731999999999998</v>
      </c>
      <c r="F29">
        <v>194.85210000000001</v>
      </c>
      <c r="G29">
        <f t="shared" si="2"/>
        <v>76.852100000000007</v>
      </c>
      <c r="H29">
        <f t="shared" si="3"/>
        <v>0.67966139018572791</v>
      </c>
    </row>
    <row r="30" spans="1:8" x14ac:dyDescent="0.25">
      <c r="A30">
        <v>4.5350999999999999</v>
      </c>
      <c r="B30">
        <v>132.01410000000001</v>
      </c>
      <c r="C30">
        <f t="shared" si="0"/>
        <v>30.014100000000013</v>
      </c>
      <c r="D30">
        <f t="shared" si="1"/>
        <v>0.66549520625094249</v>
      </c>
      <c r="E30">
        <v>4.5350999999999999</v>
      </c>
      <c r="F30">
        <v>196.74600000000001</v>
      </c>
      <c r="G30">
        <f t="shared" si="2"/>
        <v>78.746000000000009</v>
      </c>
      <c r="H30">
        <f t="shared" si="3"/>
        <v>0.69641058385607335</v>
      </c>
    </row>
    <row r="31" spans="1:8" x14ac:dyDescent="0.25">
      <c r="A31">
        <v>4.6970999999999998</v>
      </c>
      <c r="B31">
        <v>131.1079</v>
      </c>
      <c r="C31">
        <f t="shared" si="0"/>
        <v>29.107900000000001</v>
      </c>
      <c r="D31">
        <f t="shared" si="1"/>
        <v>0.64540225807309903</v>
      </c>
      <c r="E31">
        <v>4.6970999999999998</v>
      </c>
      <c r="F31">
        <v>194.79499999999999</v>
      </c>
      <c r="G31">
        <f t="shared" si="2"/>
        <v>76.794999999999987</v>
      </c>
      <c r="H31">
        <f t="shared" si="3"/>
        <v>0.67915641159204443</v>
      </c>
    </row>
    <row r="32" spans="1:8" x14ac:dyDescent="0.25">
      <c r="A32">
        <v>4.8590999999999998</v>
      </c>
      <c r="B32">
        <v>131.71729999999999</v>
      </c>
      <c r="C32">
        <f t="shared" si="0"/>
        <v>29.717299999999994</v>
      </c>
      <c r="D32">
        <f t="shared" si="1"/>
        <v>0.65891433335402771</v>
      </c>
      <c r="E32">
        <v>4.8590999999999998</v>
      </c>
      <c r="F32">
        <v>194.74760000000001</v>
      </c>
      <c r="G32">
        <f t="shared" si="2"/>
        <v>76.747600000000006</v>
      </c>
      <c r="H32">
        <f t="shared" si="3"/>
        <v>0.6787372174529801</v>
      </c>
    </row>
    <row r="33" spans="1:8" x14ac:dyDescent="0.25">
      <c r="A33">
        <v>5.0209999999999999</v>
      </c>
      <c r="B33">
        <v>131.3099</v>
      </c>
      <c r="C33">
        <f t="shared" si="0"/>
        <v>29.309899999999999</v>
      </c>
      <c r="D33">
        <f t="shared" si="1"/>
        <v>0.64988115404741409</v>
      </c>
      <c r="E33">
        <v>5.0209999999999999</v>
      </c>
      <c r="F33">
        <v>193.25729999999999</v>
      </c>
      <c r="G33">
        <f t="shared" si="2"/>
        <v>75.257299999999987</v>
      </c>
      <c r="H33">
        <f t="shared" si="3"/>
        <v>0.66555736459542902</v>
      </c>
    </row>
    <row r="34" spans="1:8" x14ac:dyDescent="0.25">
      <c r="A34">
        <v>5.1829999999999998</v>
      </c>
      <c r="B34">
        <v>129.78630000000001</v>
      </c>
      <c r="C34">
        <f t="shared" si="0"/>
        <v>27.786300000000011</v>
      </c>
      <c r="D34">
        <f t="shared" si="1"/>
        <v>0.61609874856985758</v>
      </c>
      <c r="E34">
        <v>5.1829999999999998</v>
      </c>
      <c r="F34">
        <v>195.32910000000001</v>
      </c>
      <c r="G34">
        <f t="shared" si="2"/>
        <v>77.329100000000011</v>
      </c>
      <c r="H34">
        <f t="shared" si="3"/>
        <v>0.68387986285099789</v>
      </c>
    </row>
    <row r="35" spans="1:8" x14ac:dyDescent="0.25">
      <c r="A35">
        <v>5.3449999999999998</v>
      </c>
      <c r="B35">
        <v>129.86670000000001</v>
      </c>
      <c r="C35">
        <f t="shared" si="0"/>
        <v>27.866700000000009</v>
      </c>
      <c r="D35">
        <f t="shared" si="1"/>
        <v>0.61788143785864436</v>
      </c>
      <c r="E35">
        <v>5.3449999999999998</v>
      </c>
      <c r="F35">
        <v>191.6773</v>
      </c>
      <c r="G35">
        <f t="shared" si="2"/>
        <v>73.677300000000002</v>
      </c>
      <c r="H35">
        <f t="shared" si="3"/>
        <v>0.65158422662661042</v>
      </c>
    </row>
    <row r="36" spans="1:8" x14ac:dyDescent="0.25">
      <c r="A36">
        <v>5.5069999999999997</v>
      </c>
      <c r="B36">
        <v>130.11660000000001</v>
      </c>
      <c r="C36">
        <f t="shared" si="0"/>
        <v>28.116600000000005</v>
      </c>
      <c r="D36">
        <f t="shared" si="1"/>
        <v>0.62342240867043308</v>
      </c>
      <c r="E36">
        <v>5.5069999999999997</v>
      </c>
      <c r="F36">
        <v>191.82839999999999</v>
      </c>
      <c r="G36">
        <f t="shared" si="2"/>
        <v>73.828399999999988</v>
      </c>
      <c r="H36">
        <f t="shared" si="3"/>
        <v>0.65292051849185617</v>
      </c>
    </row>
    <row r="37" spans="1:8" x14ac:dyDescent="0.25">
      <c r="A37">
        <v>5.6688999999999998</v>
      </c>
      <c r="B37">
        <v>129.77330000000001</v>
      </c>
      <c r="C37">
        <f t="shared" si="0"/>
        <v>27.773300000000006</v>
      </c>
      <c r="D37">
        <f t="shared" si="1"/>
        <v>0.61581050278933225</v>
      </c>
      <c r="E37">
        <v>5.6688999999999998</v>
      </c>
      <c r="F37">
        <v>191.66329999999999</v>
      </c>
      <c r="G37">
        <f t="shared" si="2"/>
        <v>73.663299999999992</v>
      </c>
      <c r="H37">
        <f t="shared" si="3"/>
        <v>0.65146041401169674</v>
      </c>
    </row>
    <row r="38" spans="1:8" x14ac:dyDescent="0.25">
      <c r="A38">
        <v>5.8308999999999997</v>
      </c>
      <c r="B38">
        <v>131.2704</v>
      </c>
      <c r="C38">
        <f t="shared" si="0"/>
        <v>29.270399999999995</v>
      </c>
      <c r="D38">
        <f t="shared" si="1"/>
        <v>0.64900533032966423</v>
      </c>
      <c r="E38">
        <v>5.8308999999999997</v>
      </c>
      <c r="F38">
        <v>193.04730000000001</v>
      </c>
      <c r="G38">
        <f t="shared" si="2"/>
        <v>75.047300000000007</v>
      </c>
      <c r="H38">
        <f t="shared" si="3"/>
        <v>0.66370017537172543</v>
      </c>
    </row>
    <row r="39" spans="1:8" x14ac:dyDescent="0.25">
      <c r="A39">
        <v>5.9928999999999997</v>
      </c>
      <c r="B39">
        <v>132.5916</v>
      </c>
      <c r="C39">
        <f t="shared" si="0"/>
        <v>30.5916</v>
      </c>
      <c r="D39">
        <f t="shared" si="1"/>
        <v>0.67829997073196679</v>
      </c>
      <c r="E39">
        <v>5.9928999999999997</v>
      </c>
      <c r="F39">
        <v>192.73089999999999</v>
      </c>
      <c r="G39">
        <f t="shared" si="2"/>
        <v>74.730899999999991</v>
      </c>
      <c r="H39">
        <f t="shared" si="3"/>
        <v>0.66090201027467832</v>
      </c>
    </row>
    <row r="40" spans="1:8" x14ac:dyDescent="0.25">
      <c r="A40">
        <v>6.1547999999999998</v>
      </c>
      <c r="B40">
        <v>130.87700000000001</v>
      </c>
      <c r="C40">
        <f t="shared" si="0"/>
        <v>28.87700000000001</v>
      </c>
      <c r="D40">
        <f t="shared" si="1"/>
        <v>0.64028256955592422</v>
      </c>
      <c r="E40">
        <v>6.1547999999999998</v>
      </c>
      <c r="F40">
        <v>190.8691</v>
      </c>
      <c r="G40">
        <f t="shared" si="2"/>
        <v>72.869100000000003</v>
      </c>
      <c r="H40">
        <f t="shared" si="3"/>
        <v>0.64443670124281349</v>
      </c>
    </row>
    <row r="41" spans="1:8" x14ac:dyDescent="0.25">
      <c r="A41">
        <v>6.3167999999999997</v>
      </c>
      <c r="B41">
        <v>130.4366</v>
      </c>
      <c r="C41">
        <f t="shared" si="0"/>
        <v>28.436599999999999</v>
      </c>
      <c r="D41">
        <f t="shared" si="1"/>
        <v>0.63051768942182318</v>
      </c>
      <c r="E41">
        <v>6.3167999999999997</v>
      </c>
      <c r="F41">
        <v>196.8177</v>
      </c>
      <c r="G41">
        <f t="shared" si="2"/>
        <v>78.817700000000002</v>
      </c>
      <c r="H41">
        <f t="shared" si="3"/>
        <v>0.69704468131959496</v>
      </c>
    </row>
    <row r="42" spans="1:8" x14ac:dyDescent="0.25">
      <c r="A42">
        <v>6.4787999999999997</v>
      </c>
      <c r="B42">
        <v>131.41560000000001</v>
      </c>
      <c r="C42">
        <f t="shared" si="0"/>
        <v>29.415600000000012</v>
      </c>
      <c r="D42">
        <f t="shared" si="1"/>
        <v>0.65222481397060794</v>
      </c>
      <c r="E42">
        <v>6.4787999999999997</v>
      </c>
      <c r="F42">
        <v>192.7747</v>
      </c>
      <c r="G42">
        <f t="shared" si="2"/>
        <v>74.774699999999996</v>
      </c>
      <c r="H42">
        <f t="shared" si="3"/>
        <v>0.66128936688419371</v>
      </c>
    </row>
    <row r="43" spans="1:8" x14ac:dyDescent="0.25">
      <c r="A43">
        <v>6.6406999999999998</v>
      </c>
      <c r="B43">
        <v>132.99250000000001</v>
      </c>
      <c r="C43">
        <f t="shared" si="0"/>
        <v>30.992500000000007</v>
      </c>
      <c r="D43">
        <f t="shared" si="1"/>
        <v>0.68718902714831798</v>
      </c>
      <c r="E43">
        <v>6.6406999999999998</v>
      </c>
      <c r="F43">
        <v>192.41640000000001</v>
      </c>
      <c r="G43">
        <f t="shared" si="2"/>
        <v>74.41640000000001</v>
      </c>
      <c r="H43">
        <f t="shared" si="3"/>
        <v>0.65812064831822692</v>
      </c>
    </row>
    <row r="44" spans="1:8" x14ac:dyDescent="0.25">
      <c r="A44">
        <v>6.8026999999999997</v>
      </c>
      <c r="B44">
        <v>133.56809999999999</v>
      </c>
      <c r="C44">
        <f t="shared" si="0"/>
        <v>31.568099999999987</v>
      </c>
      <c r="D44">
        <f t="shared" si="1"/>
        <v>0.6999516633998808</v>
      </c>
      <c r="E44">
        <v>6.8026999999999997</v>
      </c>
      <c r="F44">
        <v>193.1696</v>
      </c>
      <c r="G44">
        <f t="shared" si="2"/>
        <v>75.169600000000003</v>
      </c>
      <c r="H44">
        <f t="shared" si="3"/>
        <v>0.66478176700057756</v>
      </c>
    </row>
    <row r="45" spans="1:8" x14ac:dyDescent="0.25">
      <c r="A45">
        <v>6.9646999999999997</v>
      </c>
      <c r="B45">
        <v>135.45009999999999</v>
      </c>
      <c r="C45">
        <f t="shared" si="0"/>
        <v>33.450099999999992</v>
      </c>
      <c r="D45">
        <f t="shared" si="1"/>
        <v>0.74168078331899467</v>
      </c>
      <c r="E45">
        <v>6.9646999999999997</v>
      </c>
      <c r="F45">
        <v>191.04849999999999</v>
      </c>
      <c r="G45">
        <f t="shared" si="2"/>
        <v>73.04849999999999</v>
      </c>
      <c r="H45">
        <f t="shared" si="3"/>
        <v>0.64602327146534877</v>
      </c>
    </row>
    <row r="46" spans="1:8" x14ac:dyDescent="0.25">
      <c r="A46">
        <v>7.1265999999999998</v>
      </c>
      <c r="B46">
        <v>137.9649</v>
      </c>
      <c r="C46">
        <f t="shared" si="0"/>
        <v>35.9649</v>
      </c>
      <c r="D46">
        <f t="shared" si="1"/>
        <v>0.79744082092398283</v>
      </c>
      <c r="E46">
        <v>7.1265999999999998</v>
      </c>
      <c r="F46">
        <v>191.45249999999999</v>
      </c>
      <c r="G46">
        <f t="shared" si="2"/>
        <v>73.452499999999986</v>
      </c>
      <c r="H46">
        <f t="shared" si="3"/>
        <v>0.64959614978142644</v>
      </c>
    </row>
    <row r="47" spans="1:8" x14ac:dyDescent="0.25">
      <c r="A47">
        <v>7.2885999999999997</v>
      </c>
      <c r="B47">
        <v>136.41</v>
      </c>
      <c r="C47">
        <f t="shared" si="0"/>
        <v>34.409999999999997</v>
      </c>
      <c r="D47">
        <f t="shared" si="1"/>
        <v>0.76296440829793066</v>
      </c>
      <c r="E47">
        <v>7.2885999999999997</v>
      </c>
      <c r="F47">
        <v>192.33449999999999</v>
      </c>
      <c r="G47">
        <f t="shared" si="2"/>
        <v>74.334499999999991</v>
      </c>
      <c r="H47">
        <f t="shared" si="3"/>
        <v>0.65739634452098228</v>
      </c>
    </row>
    <row r="48" spans="1:8" x14ac:dyDescent="0.25">
      <c r="A48">
        <v>7.4505999999999997</v>
      </c>
      <c r="B48">
        <v>138.93020000000001</v>
      </c>
      <c r="C48">
        <f t="shared" si="0"/>
        <v>36.930200000000013</v>
      </c>
      <c r="D48">
        <f t="shared" si="1"/>
        <v>0.81884417876559867</v>
      </c>
      <c r="E48">
        <v>7.4505999999999997</v>
      </c>
      <c r="F48">
        <v>191.38839999999999</v>
      </c>
      <c r="G48">
        <f t="shared" si="2"/>
        <v>73.38839999999999</v>
      </c>
      <c r="H48">
        <f t="shared" si="3"/>
        <v>0.64902926488028645</v>
      </c>
    </row>
    <row r="49" spans="1:8" x14ac:dyDescent="0.25">
      <c r="A49">
        <v>7.6125999999999996</v>
      </c>
      <c r="B49">
        <v>136.71019999999999</v>
      </c>
      <c r="C49">
        <f t="shared" si="0"/>
        <v>34.710199999999986</v>
      </c>
      <c r="D49">
        <f t="shared" si="1"/>
        <v>0.7696206685528284</v>
      </c>
      <c r="E49">
        <v>7.6125999999999996</v>
      </c>
      <c r="F49">
        <v>192.77180000000001</v>
      </c>
      <c r="G49">
        <f t="shared" si="2"/>
        <v>74.771800000000013</v>
      </c>
      <c r="H49">
        <f t="shared" si="3"/>
        <v>0.66126371998539035</v>
      </c>
    </row>
    <row r="50" spans="1:8" x14ac:dyDescent="0.25">
      <c r="A50">
        <v>7.7744999999999997</v>
      </c>
      <c r="B50">
        <v>136.74209999999999</v>
      </c>
      <c r="C50">
        <f t="shared" si="0"/>
        <v>34.742099999999994</v>
      </c>
      <c r="D50">
        <f t="shared" si="1"/>
        <v>0.77032797935273278</v>
      </c>
      <c r="E50">
        <v>7.7744999999999997</v>
      </c>
      <c r="F50">
        <v>195.43260000000001</v>
      </c>
      <c r="G50">
        <f t="shared" si="2"/>
        <v>77.432600000000008</v>
      </c>
      <c r="H50">
        <f t="shared" si="3"/>
        <v>0.68479519182553761</v>
      </c>
    </row>
    <row r="51" spans="1:8" x14ac:dyDescent="0.25">
      <c r="A51">
        <v>7.9364999999999997</v>
      </c>
      <c r="B51">
        <v>135.77459999999999</v>
      </c>
      <c r="C51">
        <f t="shared" si="0"/>
        <v>33.774599999999992</v>
      </c>
      <c r="D51">
        <f t="shared" si="1"/>
        <v>0.74887584145595132</v>
      </c>
      <c r="E51">
        <v>7.9364999999999997</v>
      </c>
      <c r="F51">
        <v>193.77799999999999</v>
      </c>
      <c r="G51">
        <f t="shared" si="2"/>
        <v>75.777999999999992</v>
      </c>
      <c r="H51">
        <f t="shared" si="3"/>
        <v>0.67016230949439348</v>
      </c>
    </row>
    <row r="52" spans="1:8" x14ac:dyDescent="0.25">
      <c r="A52">
        <v>8.0984999999999996</v>
      </c>
      <c r="B52">
        <v>133.4648</v>
      </c>
      <c r="C52">
        <f t="shared" si="0"/>
        <v>31.464799999999997</v>
      </c>
      <c r="D52">
        <f t="shared" si="1"/>
        <v>0.69766121808232284</v>
      </c>
      <c r="E52">
        <v>8.0984999999999996</v>
      </c>
      <c r="F52">
        <v>194.64670000000001</v>
      </c>
      <c r="G52">
        <f t="shared" si="2"/>
        <v>76.64670000000001</v>
      </c>
      <c r="H52">
        <f t="shared" si="3"/>
        <v>0.67784488224978146</v>
      </c>
    </row>
    <row r="53" spans="1:8" x14ac:dyDescent="0.25">
      <c r="A53">
        <v>8.2604000000000006</v>
      </c>
      <c r="B53">
        <v>133.5017</v>
      </c>
      <c r="C53">
        <f t="shared" si="0"/>
        <v>31.5017</v>
      </c>
      <c r="D53">
        <f t="shared" si="1"/>
        <v>0.69847939264396752</v>
      </c>
      <c r="E53">
        <v>8.2604000000000006</v>
      </c>
      <c r="F53">
        <v>194.5249</v>
      </c>
      <c r="G53">
        <f t="shared" si="2"/>
        <v>76.524900000000002</v>
      </c>
      <c r="H53">
        <f t="shared" si="3"/>
        <v>0.67676771250003331</v>
      </c>
    </row>
    <row r="54" spans="1:8" x14ac:dyDescent="0.25">
      <c r="A54">
        <v>8.4223999999999997</v>
      </c>
      <c r="B54">
        <v>131.84630000000001</v>
      </c>
      <c r="C54">
        <f t="shared" si="0"/>
        <v>29.846300000000014</v>
      </c>
      <c r="D54">
        <f t="shared" si="1"/>
        <v>0.6617746184069323</v>
      </c>
      <c r="E54">
        <v>8.4223999999999997</v>
      </c>
      <c r="F54">
        <v>192.81360000000001</v>
      </c>
      <c r="G54">
        <f t="shared" si="2"/>
        <v>74.813600000000008</v>
      </c>
      <c r="H54">
        <f t="shared" si="3"/>
        <v>0.66163338907848934</v>
      </c>
    </row>
    <row r="55" spans="1:8" x14ac:dyDescent="0.25">
      <c r="A55">
        <v>8.5844000000000005</v>
      </c>
      <c r="B55">
        <v>134.37729999999999</v>
      </c>
      <c r="C55">
        <f t="shared" si="0"/>
        <v>32.377299999999991</v>
      </c>
      <c r="D55">
        <f t="shared" si="1"/>
        <v>0.71789385459995891</v>
      </c>
      <c r="E55">
        <v>8.5844000000000005</v>
      </c>
      <c r="F55">
        <v>193.21950000000001</v>
      </c>
      <c r="G55">
        <f t="shared" si="2"/>
        <v>75.219500000000011</v>
      </c>
      <c r="H55">
        <f t="shared" si="3"/>
        <v>0.6652230705351625</v>
      </c>
    </row>
    <row r="56" spans="1:8" x14ac:dyDescent="0.25">
      <c r="A56">
        <v>8.7462999999999997</v>
      </c>
      <c r="B56">
        <v>135.63380000000001</v>
      </c>
      <c r="C56">
        <f t="shared" si="0"/>
        <v>33.633800000000008</v>
      </c>
      <c r="D56">
        <f t="shared" si="1"/>
        <v>0.74575391792533996</v>
      </c>
      <c r="E56">
        <v>8.7462999999999997</v>
      </c>
      <c r="F56">
        <v>193.58189999999999</v>
      </c>
      <c r="G56">
        <f t="shared" si="2"/>
        <v>75.58189999999999</v>
      </c>
      <c r="H56">
        <f t="shared" si="3"/>
        <v>0.66842804850978255</v>
      </c>
    </row>
    <row r="57" spans="1:8" x14ac:dyDescent="0.25">
      <c r="A57">
        <v>8.9083000000000006</v>
      </c>
      <c r="B57">
        <v>133.28899999999999</v>
      </c>
      <c r="C57">
        <f t="shared" si="0"/>
        <v>31.288999999999987</v>
      </c>
      <c r="D57">
        <f t="shared" si="1"/>
        <v>0.69376324821952762</v>
      </c>
      <c r="E57">
        <v>8.9083000000000006</v>
      </c>
      <c r="F57">
        <v>193.94489999999999</v>
      </c>
      <c r="G57">
        <f t="shared" si="2"/>
        <v>75.94489999999999</v>
      </c>
      <c r="H57">
        <f t="shared" si="3"/>
        <v>0.6716383327393276</v>
      </c>
    </row>
    <row r="58" spans="1:8" x14ac:dyDescent="0.25">
      <c r="A58">
        <v>9.0702999999999996</v>
      </c>
      <c r="B58">
        <v>132.9897</v>
      </c>
      <c r="C58">
        <f t="shared" si="0"/>
        <v>30.989699999999999</v>
      </c>
      <c r="D58">
        <f t="shared" si="1"/>
        <v>0.68712694344174319</v>
      </c>
      <c r="E58">
        <v>9.0702999999999996</v>
      </c>
      <c r="F58">
        <v>193.3398</v>
      </c>
      <c r="G58">
        <f t="shared" si="2"/>
        <v>75.339799999999997</v>
      </c>
      <c r="H58">
        <f t="shared" si="3"/>
        <v>0.66628697464759834</v>
      </c>
    </row>
    <row r="59" spans="1:8" x14ac:dyDescent="0.25">
      <c r="A59">
        <v>9.2322000000000006</v>
      </c>
      <c r="B59">
        <v>136.2353</v>
      </c>
      <c r="C59">
        <f t="shared" si="0"/>
        <v>34.235299999999995</v>
      </c>
      <c r="D59">
        <f t="shared" si="1"/>
        <v>0.75909082846271847</v>
      </c>
      <c r="E59">
        <v>9.2322000000000006</v>
      </c>
      <c r="F59">
        <v>194.80009999999999</v>
      </c>
      <c r="G59">
        <f t="shared" si="2"/>
        <v>76.800099999999986</v>
      </c>
      <c r="H59">
        <f t="shared" si="3"/>
        <v>0.67920151475890589</v>
      </c>
    </row>
    <row r="60" spans="1:8" x14ac:dyDescent="0.25">
      <c r="A60">
        <v>9.3941999999999997</v>
      </c>
      <c r="B60">
        <v>138.09360000000001</v>
      </c>
      <c r="C60">
        <f t="shared" si="0"/>
        <v>36.093600000000009</v>
      </c>
      <c r="D60">
        <f t="shared" si="1"/>
        <v>0.80029445415118272</v>
      </c>
      <c r="E60">
        <v>9.3941999999999997</v>
      </c>
      <c r="F60">
        <v>193.31569999999999</v>
      </c>
      <c r="G60">
        <f t="shared" si="2"/>
        <v>75.315699999999993</v>
      </c>
      <c r="H60">
        <f t="shared" si="3"/>
        <v>0.66607384007478287</v>
      </c>
    </row>
    <row r="61" spans="1:8" x14ac:dyDescent="0.25">
      <c r="A61">
        <v>9.5562000000000005</v>
      </c>
      <c r="B61">
        <v>140.94450000000001</v>
      </c>
      <c r="C61">
        <f t="shared" si="0"/>
        <v>38.944500000000005</v>
      </c>
      <c r="D61">
        <f t="shared" si="1"/>
        <v>0.86350675382036524</v>
      </c>
      <c r="E61">
        <v>9.5562000000000005</v>
      </c>
      <c r="F61">
        <v>194.64169999999999</v>
      </c>
      <c r="G61">
        <f t="shared" si="2"/>
        <v>76.641699999999986</v>
      </c>
      <c r="H61">
        <f t="shared" si="3"/>
        <v>0.67780066345874068</v>
      </c>
    </row>
    <row r="62" spans="1:8" x14ac:dyDescent="0.25">
      <c r="A62">
        <v>9.7181999999999995</v>
      </c>
      <c r="B62">
        <v>143.8109</v>
      </c>
      <c r="C62">
        <f t="shared" si="0"/>
        <v>41.810900000000004</v>
      </c>
      <c r="D62">
        <f t="shared" si="1"/>
        <v>0.92706273115094318</v>
      </c>
      <c r="E62">
        <v>9.7181999999999995</v>
      </c>
      <c r="F62">
        <v>193.46539999999999</v>
      </c>
      <c r="G62">
        <f t="shared" si="2"/>
        <v>75.465399999999988</v>
      </c>
      <c r="H62">
        <f t="shared" si="3"/>
        <v>0.66739775067853735</v>
      </c>
    </row>
    <row r="63" spans="1:8" x14ac:dyDescent="0.25">
      <c r="A63">
        <v>9.8801000000000005</v>
      </c>
      <c r="B63">
        <v>147.10040000000001</v>
      </c>
      <c r="C63">
        <f t="shared" si="0"/>
        <v>45.100400000000008</v>
      </c>
      <c r="D63">
        <f t="shared" si="1"/>
        <v>1</v>
      </c>
      <c r="E63">
        <v>9.8801000000000005</v>
      </c>
      <c r="F63">
        <v>193.0119</v>
      </c>
      <c r="G63">
        <f t="shared" si="2"/>
        <v>75.011899999999997</v>
      </c>
      <c r="H63">
        <f t="shared" si="3"/>
        <v>0.66338710633115816</v>
      </c>
    </row>
    <row r="64" spans="1:8" x14ac:dyDescent="0.25">
      <c r="A64">
        <v>10.0421</v>
      </c>
      <c r="B64">
        <v>142.79069999999999</v>
      </c>
      <c r="C64">
        <f t="shared" si="0"/>
        <v>40.790699999999987</v>
      </c>
      <c r="D64">
        <f t="shared" si="1"/>
        <v>0.9044420892054168</v>
      </c>
      <c r="E64">
        <v>10.0421</v>
      </c>
      <c r="F64">
        <v>194.05779999999999</v>
      </c>
      <c r="G64">
        <f t="shared" si="2"/>
        <v>76.057799999999986</v>
      </c>
      <c r="H64">
        <f t="shared" si="3"/>
        <v>0.67263679304102353</v>
      </c>
    </row>
    <row r="65" spans="1:8" x14ac:dyDescent="0.25">
      <c r="A65">
        <v>10.2041</v>
      </c>
      <c r="B65">
        <v>134.92420000000001</v>
      </c>
      <c r="C65">
        <f t="shared" si="0"/>
        <v>32.924200000000013</v>
      </c>
      <c r="D65">
        <f t="shared" si="1"/>
        <v>0.73002013285913225</v>
      </c>
      <c r="E65">
        <v>10.2041</v>
      </c>
      <c r="F65">
        <v>193.0204</v>
      </c>
      <c r="G65">
        <f t="shared" si="2"/>
        <v>75.020399999999995</v>
      </c>
      <c r="H65">
        <f t="shared" si="3"/>
        <v>0.66346227827592708</v>
      </c>
    </row>
    <row r="66" spans="1:8" x14ac:dyDescent="0.25">
      <c r="A66">
        <v>10.366</v>
      </c>
      <c r="B66">
        <v>133.0849</v>
      </c>
      <c r="C66">
        <f t="shared" si="0"/>
        <v>31.084900000000005</v>
      </c>
      <c r="D66">
        <f t="shared" si="1"/>
        <v>0.68923778946528191</v>
      </c>
      <c r="E66">
        <v>10.366</v>
      </c>
      <c r="F66">
        <v>196.05699999999999</v>
      </c>
      <c r="G66">
        <f t="shared" si="2"/>
        <v>78.056999999999988</v>
      </c>
      <c r="H66">
        <f t="shared" si="3"/>
        <v>0.69031723445068316</v>
      </c>
    </row>
    <row r="67" spans="1:8" x14ac:dyDescent="0.25">
      <c r="A67">
        <v>10.528</v>
      </c>
      <c r="B67">
        <v>134.14940000000001</v>
      </c>
      <c r="C67">
        <f t="shared" ref="C67:C73" si="4">B67-102</f>
        <v>32.149400000000014</v>
      </c>
      <c r="D67">
        <f t="shared" ref="D67:D73" si="5">C67/MAX(C:C)</f>
        <v>0.71284068433982861</v>
      </c>
      <c r="E67">
        <v>10.528</v>
      </c>
      <c r="F67">
        <v>194.91290000000001</v>
      </c>
      <c r="G67">
        <f t="shared" ref="G67:G105" si="6">F67-118</f>
        <v>76.912900000000008</v>
      </c>
      <c r="H67">
        <f t="shared" ref="H67:H105" si="7">G67/MAX(G:G)</f>
        <v>0.68019909068478124</v>
      </c>
    </row>
    <row r="68" spans="1:8" x14ac:dyDescent="0.25">
      <c r="A68">
        <v>10.69</v>
      </c>
      <c r="B68">
        <v>134.25049999999999</v>
      </c>
      <c r="C68">
        <f t="shared" si="4"/>
        <v>32.250499999999988</v>
      </c>
      <c r="D68">
        <f t="shared" si="5"/>
        <v>0.71508234960222039</v>
      </c>
      <c r="E68">
        <v>10.69</v>
      </c>
      <c r="F68">
        <v>193.9624</v>
      </c>
      <c r="G68">
        <f t="shared" si="6"/>
        <v>75.962400000000002</v>
      </c>
      <c r="H68">
        <f t="shared" si="7"/>
        <v>0.67179309850796964</v>
      </c>
    </row>
    <row r="69" spans="1:8" x14ac:dyDescent="0.25">
      <c r="A69">
        <v>10.851900000000001</v>
      </c>
      <c r="B69">
        <v>132.10830000000001</v>
      </c>
      <c r="C69">
        <f t="shared" si="4"/>
        <v>30.108300000000014</v>
      </c>
      <c r="D69">
        <f t="shared" si="5"/>
        <v>0.66758387952213305</v>
      </c>
      <c r="E69">
        <v>10.851900000000001</v>
      </c>
      <c r="F69">
        <v>197.87379999999999</v>
      </c>
      <c r="G69">
        <f t="shared" si="6"/>
        <v>79.873799999999989</v>
      </c>
      <c r="H69">
        <f t="shared" si="7"/>
        <v>0.70638457436318303</v>
      </c>
    </row>
    <row r="70" spans="1:8" x14ac:dyDescent="0.25">
      <c r="A70">
        <v>11.0139</v>
      </c>
      <c r="B70">
        <v>128.62289999999999</v>
      </c>
      <c r="C70">
        <f t="shared" si="4"/>
        <v>26.622899999999987</v>
      </c>
      <c r="D70">
        <f t="shared" si="5"/>
        <v>0.59030296848808395</v>
      </c>
      <c r="E70">
        <v>11.0139</v>
      </c>
      <c r="F70">
        <v>198.89340000000001</v>
      </c>
      <c r="G70">
        <f t="shared" si="6"/>
        <v>80.893400000000014</v>
      </c>
      <c r="H70">
        <f t="shared" si="7"/>
        <v>0.71540167023217538</v>
      </c>
    </row>
    <row r="71" spans="1:8" x14ac:dyDescent="0.25">
      <c r="A71">
        <v>11.1759</v>
      </c>
      <c r="B71">
        <v>130.25649999999999</v>
      </c>
      <c r="C71">
        <f t="shared" si="4"/>
        <v>28.256499999999988</v>
      </c>
      <c r="D71">
        <f t="shared" si="5"/>
        <v>0.62652437672393113</v>
      </c>
      <c r="E71">
        <v>11.1759</v>
      </c>
      <c r="F71">
        <v>200.06319999999999</v>
      </c>
      <c r="G71">
        <f t="shared" si="6"/>
        <v>82.063199999999995</v>
      </c>
      <c r="H71">
        <f t="shared" si="7"/>
        <v>0.72574709858402586</v>
      </c>
    </row>
    <row r="72" spans="1:8" x14ac:dyDescent="0.25">
      <c r="A72">
        <v>11.3378</v>
      </c>
      <c r="B72">
        <v>128</v>
      </c>
      <c r="C72">
        <f t="shared" si="4"/>
        <v>26</v>
      </c>
      <c r="D72">
        <f t="shared" si="5"/>
        <v>0.57649156105045618</v>
      </c>
      <c r="E72">
        <v>11.3378</v>
      </c>
      <c r="F72">
        <v>195.44579999999999</v>
      </c>
      <c r="G72">
        <f t="shared" si="6"/>
        <v>77.445799999999991</v>
      </c>
      <c r="H72">
        <f t="shared" si="7"/>
        <v>0.68491192943388446</v>
      </c>
    </row>
    <row r="73" spans="1:8" x14ac:dyDescent="0.25">
      <c r="A73">
        <v>11.4998</v>
      </c>
      <c r="B73">
        <v>128</v>
      </c>
      <c r="C73">
        <f t="shared" si="4"/>
        <v>26</v>
      </c>
      <c r="D73">
        <f t="shared" si="5"/>
        <v>0.57649156105045618</v>
      </c>
      <c r="E73">
        <v>11.4998</v>
      </c>
      <c r="F73">
        <v>202.8869</v>
      </c>
      <c r="G73">
        <f t="shared" si="6"/>
        <v>84.886899999999997</v>
      </c>
      <c r="H73">
        <f t="shared" si="7"/>
        <v>0.75071921863627489</v>
      </c>
    </row>
    <row r="74" spans="1:8" x14ac:dyDescent="0.25">
      <c r="E74">
        <v>11.661799999999999</v>
      </c>
      <c r="F74">
        <v>200.87389999999999</v>
      </c>
      <c r="G74">
        <f t="shared" si="6"/>
        <v>82.873899999999992</v>
      </c>
      <c r="H74">
        <f t="shared" si="7"/>
        <v>0.73291673336334318</v>
      </c>
    </row>
    <row r="75" spans="1:8" x14ac:dyDescent="0.25">
      <c r="E75">
        <v>11.8238</v>
      </c>
      <c r="F75">
        <v>202.51249999999999</v>
      </c>
      <c r="G75">
        <f t="shared" si="6"/>
        <v>84.512499999999989</v>
      </c>
      <c r="H75">
        <f t="shared" si="7"/>
        <v>0.74740811556315723</v>
      </c>
    </row>
    <row r="76" spans="1:8" x14ac:dyDescent="0.25">
      <c r="E76">
        <v>11.9857</v>
      </c>
      <c r="F76">
        <v>203.9333</v>
      </c>
      <c r="G76">
        <f t="shared" si="6"/>
        <v>85.933300000000003</v>
      </c>
      <c r="H76">
        <f t="shared" si="7"/>
        <v>0.75997332722524447</v>
      </c>
    </row>
    <row r="77" spans="1:8" x14ac:dyDescent="0.25">
      <c r="E77">
        <v>12.1477</v>
      </c>
      <c r="F77">
        <v>199.25360000000001</v>
      </c>
      <c r="G77">
        <f t="shared" si="6"/>
        <v>81.253600000000006</v>
      </c>
      <c r="H77">
        <f t="shared" si="7"/>
        <v>0.71858719193873766</v>
      </c>
    </row>
    <row r="78" spans="1:8" x14ac:dyDescent="0.25">
      <c r="E78">
        <v>12.309699999999999</v>
      </c>
      <c r="F78">
        <v>200.8732</v>
      </c>
      <c r="G78">
        <f t="shared" si="6"/>
        <v>82.873199999999997</v>
      </c>
      <c r="H78">
        <f t="shared" si="7"/>
        <v>0.73291054273259748</v>
      </c>
    </row>
    <row r="79" spans="1:8" x14ac:dyDescent="0.25">
      <c r="E79">
        <v>12.4716</v>
      </c>
      <c r="F79">
        <v>201.7004</v>
      </c>
      <c r="G79">
        <f t="shared" si="6"/>
        <v>83.700400000000002</v>
      </c>
      <c r="H79">
        <f t="shared" si="7"/>
        <v>0.74022609952234875</v>
      </c>
    </row>
    <row r="80" spans="1:8" x14ac:dyDescent="0.25">
      <c r="E80">
        <v>12.633599999999999</v>
      </c>
      <c r="F80">
        <v>200.76499999999999</v>
      </c>
      <c r="G80">
        <f t="shared" si="6"/>
        <v>82.764999999999986</v>
      </c>
      <c r="H80">
        <f t="shared" si="7"/>
        <v>0.7319536480944796</v>
      </c>
    </row>
    <row r="81" spans="5:8" x14ac:dyDescent="0.25">
      <c r="E81">
        <v>12.7956</v>
      </c>
      <c r="F81">
        <v>200.1516</v>
      </c>
      <c r="G81">
        <f t="shared" si="6"/>
        <v>82.151600000000002</v>
      </c>
      <c r="H81">
        <f t="shared" si="7"/>
        <v>0.72652888680962313</v>
      </c>
    </row>
    <row r="82" spans="5:8" x14ac:dyDescent="0.25">
      <c r="E82">
        <v>12.9575</v>
      </c>
      <c r="F82">
        <v>201.2311</v>
      </c>
      <c r="G82">
        <f t="shared" si="6"/>
        <v>83.231099999999998</v>
      </c>
      <c r="H82">
        <f t="shared" si="7"/>
        <v>0.73607572379528119</v>
      </c>
    </row>
    <row r="83" spans="5:8" x14ac:dyDescent="0.25">
      <c r="E83">
        <v>13.1195</v>
      </c>
      <c r="F83">
        <v>203.12479999999999</v>
      </c>
      <c r="G83">
        <f t="shared" si="6"/>
        <v>85.124799999999993</v>
      </c>
      <c r="H83">
        <f t="shared" si="7"/>
        <v>0.75282314871398492</v>
      </c>
    </row>
    <row r="84" spans="5:8" x14ac:dyDescent="0.25">
      <c r="E84">
        <v>13.281499999999999</v>
      </c>
      <c r="F84">
        <v>204.2715</v>
      </c>
      <c r="G84">
        <f t="shared" si="6"/>
        <v>86.271500000000003</v>
      </c>
      <c r="H84">
        <f t="shared" si="7"/>
        <v>0.76296428625122825</v>
      </c>
    </row>
    <row r="85" spans="5:8" x14ac:dyDescent="0.25">
      <c r="E85">
        <v>13.4434</v>
      </c>
      <c r="F85">
        <v>205.10849999999999</v>
      </c>
      <c r="G85">
        <f t="shared" si="6"/>
        <v>87.108499999999992</v>
      </c>
      <c r="H85">
        <f t="shared" si="7"/>
        <v>0.7703665118714188</v>
      </c>
    </row>
    <row r="86" spans="5:8" x14ac:dyDescent="0.25">
      <c r="E86">
        <v>13.605399999999999</v>
      </c>
      <c r="F86">
        <v>205.65049999999999</v>
      </c>
      <c r="G86">
        <f t="shared" si="6"/>
        <v>87.650499999999994</v>
      </c>
      <c r="H86">
        <f t="shared" si="7"/>
        <v>0.77515982882021617</v>
      </c>
    </row>
    <row r="87" spans="5:8" x14ac:dyDescent="0.25">
      <c r="E87">
        <v>13.7674</v>
      </c>
      <c r="F87">
        <v>207.2124</v>
      </c>
      <c r="G87">
        <f t="shared" si="6"/>
        <v>89.212400000000002</v>
      </c>
      <c r="H87">
        <f t="shared" si="7"/>
        <v>0.78897289476546806</v>
      </c>
    </row>
    <row r="88" spans="5:8" x14ac:dyDescent="0.25">
      <c r="E88">
        <v>13.929399999999999</v>
      </c>
      <c r="F88">
        <v>207.6397</v>
      </c>
      <c r="G88">
        <f t="shared" si="6"/>
        <v>89.639700000000005</v>
      </c>
      <c r="H88">
        <f t="shared" si="7"/>
        <v>0.79275183264779481</v>
      </c>
    </row>
    <row r="89" spans="5:8" x14ac:dyDescent="0.25">
      <c r="E89">
        <v>14.0913</v>
      </c>
      <c r="F89">
        <v>212.5993</v>
      </c>
      <c r="G89">
        <f t="shared" si="6"/>
        <v>94.599299999999999</v>
      </c>
      <c r="H89">
        <f t="shared" si="7"/>
        <v>0.83661333585675246</v>
      </c>
    </row>
    <row r="90" spans="5:8" x14ac:dyDescent="0.25">
      <c r="E90">
        <v>14.253299999999999</v>
      </c>
      <c r="F90">
        <v>215.1678</v>
      </c>
      <c r="G90">
        <f t="shared" si="6"/>
        <v>97.1678</v>
      </c>
      <c r="H90">
        <f t="shared" si="7"/>
        <v>0.85932852881429089</v>
      </c>
    </row>
    <row r="91" spans="5:8" x14ac:dyDescent="0.25">
      <c r="E91">
        <v>14.4153</v>
      </c>
      <c r="F91">
        <v>217.12899999999999</v>
      </c>
      <c r="G91">
        <f t="shared" si="6"/>
        <v>99.128999999999991</v>
      </c>
      <c r="H91">
        <f t="shared" si="7"/>
        <v>0.87667290741204218</v>
      </c>
    </row>
    <row r="92" spans="5:8" x14ac:dyDescent="0.25">
      <c r="E92">
        <v>14.577199999999999</v>
      </c>
      <c r="F92">
        <v>220.4957</v>
      </c>
      <c r="G92">
        <f t="shared" si="6"/>
        <v>102.4957</v>
      </c>
      <c r="H92">
        <f t="shared" si="7"/>
        <v>0.90644718817129666</v>
      </c>
    </row>
    <row r="93" spans="5:8" x14ac:dyDescent="0.25">
      <c r="E93">
        <v>14.7392</v>
      </c>
      <c r="F93">
        <v>227.80350000000001</v>
      </c>
      <c r="G93">
        <f t="shared" si="6"/>
        <v>109.80350000000001</v>
      </c>
      <c r="H93">
        <f t="shared" si="7"/>
        <v>0.97107560440454554</v>
      </c>
    </row>
    <row r="94" spans="5:8" x14ac:dyDescent="0.25">
      <c r="E94">
        <v>14.901199999999999</v>
      </c>
      <c r="F94">
        <v>231.07409999999999</v>
      </c>
      <c r="G94">
        <f t="shared" si="6"/>
        <v>113.07409999999999</v>
      </c>
      <c r="H94">
        <f t="shared" si="7"/>
        <v>1</v>
      </c>
    </row>
    <row r="95" spans="5:8" x14ac:dyDescent="0.25">
      <c r="E95">
        <v>15.0631</v>
      </c>
      <c r="F95">
        <v>228.03700000000001</v>
      </c>
      <c r="G95">
        <f t="shared" si="6"/>
        <v>110.03700000000001</v>
      </c>
      <c r="H95">
        <f t="shared" si="7"/>
        <v>0.97314062194613993</v>
      </c>
    </row>
    <row r="96" spans="5:8" x14ac:dyDescent="0.25">
      <c r="E96">
        <v>15.225099999999999</v>
      </c>
      <c r="F96">
        <v>228.68879999999999</v>
      </c>
      <c r="G96">
        <f t="shared" si="6"/>
        <v>110.68879999999999</v>
      </c>
      <c r="H96">
        <f t="shared" si="7"/>
        <v>0.97890498354618782</v>
      </c>
    </row>
    <row r="97" spans="5:8" x14ac:dyDescent="0.25">
      <c r="E97">
        <v>15.3871</v>
      </c>
      <c r="F97">
        <v>228.56569999999999</v>
      </c>
      <c r="G97">
        <f t="shared" si="6"/>
        <v>110.56569999999999</v>
      </c>
      <c r="H97">
        <f t="shared" si="7"/>
        <v>0.9778163169107692</v>
      </c>
    </row>
    <row r="98" spans="5:8" x14ac:dyDescent="0.25">
      <c r="E98">
        <v>15.548999999999999</v>
      </c>
      <c r="F98">
        <v>217.73929999999999</v>
      </c>
      <c r="G98">
        <f t="shared" si="6"/>
        <v>99.739299999999986</v>
      </c>
      <c r="H98">
        <f t="shared" si="7"/>
        <v>0.88207025304645359</v>
      </c>
    </row>
    <row r="99" spans="5:8" x14ac:dyDescent="0.25">
      <c r="E99">
        <v>15.711</v>
      </c>
      <c r="F99">
        <v>209.83240000000001</v>
      </c>
      <c r="G99">
        <f t="shared" si="6"/>
        <v>91.832400000000007</v>
      </c>
      <c r="H99">
        <f t="shared" si="7"/>
        <v>0.81214354127072441</v>
      </c>
    </row>
    <row r="100" spans="5:8" x14ac:dyDescent="0.25">
      <c r="E100">
        <v>15.872999999999999</v>
      </c>
      <c r="F100">
        <v>204.04849999999999</v>
      </c>
      <c r="G100">
        <f t="shared" si="6"/>
        <v>86.04849999999999</v>
      </c>
      <c r="H100">
        <f t="shared" si="7"/>
        <v>0.76099212817081896</v>
      </c>
    </row>
    <row r="101" spans="5:8" x14ac:dyDescent="0.25">
      <c r="E101">
        <v>16.035</v>
      </c>
      <c r="F101">
        <v>197.97989999999999</v>
      </c>
      <c r="G101">
        <f t="shared" si="6"/>
        <v>79.979899999999986</v>
      </c>
      <c r="H101">
        <f t="shared" si="7"/>
        <v>0.70732289710906382</v>
      </c>
    </row>
    <row r="102" spans="5:8" x14ac:dyDescent="0.25">
      <c r="E102">
        <v>16.196899999999999</v>
      </c>
      <c r="F102">
        <v>198.35820000000001</v>
      </c>
      <c r="G102">
        <f t="shared" si="6"/>
        <v>80.358200000000011</v>
      </c>
      <c r="H102">
        <f t="shared" si="7"/>
        <v>0.71066849083919326</v>
      </c>
    </row>
    <row r="103" spans="5:8" x14ac:dyDescent="0.25">
      <c r="E103">
        <v>16.358899999999998</v>
      </c>
      <c r="F103">
        <v>195.8424</v>
      </c>
      <c r="G103">
        <f t="shared" si="6"/>
        <v>77.842399999999998</v>
      </c>
      <c r="H103">
        <f t="shared" si="7"/>
        <v>0.68841936393922221</v>
      </c>
    </row>
    <row r="104" spans="5:8" x14ac:dyDescent="0.25">
      <c r="E104">
        <v>16.520900000000001</v>
      </c>
      <c r="F104">
        <v>194.0635</v>
      </c>
      <c r="G104">
        <f t="shared" si="6"/>
        <v>76.063500000000005</v>
      </c>
      <c r="H104">
        <f t="shared" si="7"/>
        <v>0.67268720246280989</v>
      </c>
    </row>
    <row r="105" spans="5:8" x14ac:dyDescent="0.25">
      <c r="E105">
        <v>16.6828</v>
      </c>
      <c r="F105">
        <v>196</v>
      </c>
      <c r="G105">
        <f t="shared" si="6"/>
        <v>78</v>
      </c>
      <c r="H105">
        <f t="shared" si="7"/>
        <v>0.68981314023282081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zhaoguo deng</dc:creator>
  <cp:lastModifiedBy>zhaoguo deng</cp:lastModifiedBy>
  <dcterms:created xsi:type="dcterms:W3CDTF">2015-06-05T18:19:34Z</dcterms:created>
  <dcterms:modified xsi:type="dcterms:W3CDTF">2025-11-03T08:14:49Z</dcterms:modified>
</cp:coreProperties>
</file>