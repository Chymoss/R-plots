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#MyCodes\Github\R-plots\"/>
    </mc:Choice>
  </mc:AlternateContent>
  <xr:revisionPtr revIDLastSave="0" documentId="13_ncr:1_{BFAD4D2E-3FCC-4D53-9091-31EB4EF8B3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SS-2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5" l="1"/>
  <c r="G25" i="5" s="1"/>
  <c r="E24" i="5"/>
  <c r="G24" i="5" s="1"/>
  <c r="E23" i="5"/>
  <c r="G23" i="5" s="1"/>
  <c r="E22" i="5"/>
  <c r="G22" i="5" s="1"/>
  <c r="E21" i="5"/>
  <c r="G21" i="5" s="1"/>
  <c r="E20" i="5"/>
  <c r="F20" i="5" s="1"/>
  <c r="E19" i="5"/>
  <c r="G19" i="5" s="1"/>
  <c r="E18" i="5"/>
  <c r="G18" i="5" s="1"/>
  <c r="E17" i="5"/>
  <c r="G17" i="5" s="1"/>
  <c r="E16" i="5"/>
  <c r="G16" i="5" s="1"/>
  <c r="E15" i="5"/>
  <c r="G15" i="5" s="1"/>
  <c r="E14" i="5"/>
  <c r="G14" i="5" s="1"/>
  <c r="E13" i="5"/>
  <c r="G13" i="5" s="1"/>
  <c r="E12" i="5"/>
  <c r="G12" i="5" s="1"/>
  <c r="E11" i="5"/>
  <c r="G11" i="5" s="1"/>
  <c r="E10" i="5"/>
  <c r="G10" i="5" s="1"/>
  <c r="E9" i="5"/>
  <c r="G9" i="5" s="1"/>
  <c r="E8" i="5"/>
  <c r="F8" i="5" s="1"/>
  <c r="E7" i="5"/>
  <c r="G7" i="5" s="1"/>
  <c r="E6" i="5"/>
  <c r="G6" i="5" s="1"/>
  <c r="E5" i="5"/>
  <c r="G5" i="5" s="1"/>
  <c r="E4" i="5"/>
  <c r="G4" i="5" s="1"/>
  <c r="E3" i="5"/>
  <c r="G3" i="5" s="1"/>
  <c r="E2" i="5"/>
  <c r="F2" i="5" s="1"/>
  <c r="F22" i="5" l="1"/>
  <c r="F6" i="5"/>
  <c r="F10" i="5"/>
  <c r="F14" i="5"/>
  <c r="F18" i="5"/>
  <c r="G2" i="5"/>
  <c r="F3" i="5"/>
  <c r="F7" i="5"/>
  <c r="F11" i="5"/>
  <c r="F15" i="5"/>
  <c r="F19" i="5"/>
  <c r="F23" i="5"/>
  <c r="F24" i="5"/>
  <c r="F4" i="5"/>
  <c r="G8" i="5"/>
  <c r="F12" i="5"/>
  <c r="F16" i="5"/>
  <c r="G20" i="5"/>
  <c r="F5" i="5"/>
  <c r="F9" i="5"/>
  <c r="F13" i="5"/>
  <c r="F17" i="5"/>
  <c r="F21" i="5"/>
  <c r="F25" i="5"/>
</calcChain>
</file>

<file path=xl/sharedStrings.xml><?xml version="1.0" encoding="utf-8"?>
<sst xmlns="http://schemas.openxmlformats.org/spreadsheetml/2006/main" count="81" uniqueCount="43">
  <si>
    <t>MPK3</t>
    <phoneticPr fontId="2" type="noConversion"/>
  </si>
  <si>
    <t>group</t>
    <phoneticPr fontId="2" type="noConversion"/>
  </si>
  <si>
    <t>LAZY4</t>
    <phoneticPr fontId="2" type="noConversion"/>
  </si>
  <si>
    <t>MKK5</t>
    <phoneticPr fontId="2" type="noConversion"/>
  </si>
  <si>
    <t>size factor</t>
    <phoneticPr fontId="2" type="noConversion"/>
  </si>
  <si>
    <t>Norm_MPK3</t>
    <phoneticPr fontId="2" type="noConversion"/>
  </si>
  <si>
    <t>Norm_MKK5</t>
    <phoneticPr fontId="2" type="noConversion"/>
  </si>
  <si>
    <t>repeat</t>
    <phoneticPr fontId="2" type="noConversion"/>
  </si>
  <si>
    <t>order</t>
    <phoneticPr fontId="2" type="noConversion"/>
  </si>
  <si>
    <t>Abundance: F1: Sample</t>
  </si>
  <si>
    <t>V</t>
    <phoneticPr fontId="2" type="noConversion"/>
  </si>
  <si>
    <t>R1</t>
    <phoneticPr fontId="2" type="noConversion"/>
  </si>
  <si>
    <t>Abundance: F6: Sample</t>
  </si>
  <si>
    <t>R2</t>
    <phoneticPr fontId="2" type="noConversion"/>
  </si>
  <si>
    <t>Abundance: F11: Sample</t>
  </si>
  <si>
    <t>R3</t>
    <phoneticPr fontId="2" type="noConversion"/>
  </si>
  <si>
    <t>Abundance: F18: Sample</t>
  </si>
  <si>
    <t>R4</t>
    <phoneticPr fontId="2" type="noConversion"/>
  </si>
  <si>
    <t>Abundance: F12: Sample</t>
  </si>
  <si>
    <t>5m</t>
    <phoneticPr fontId="2" type="noConversion"/>
  </si>
  <si>
    <t>Abundance: F13: Sample</t>
  </si>
  <si>
    <t>Abundance: F19: Sample</t>
  </si>
  <si>
    <t>Abundance: F20: Sample</t>
  </si>
  <si>
    <t>Abundance: F2: Sample</t>
  </si>
  <si>
    <t>10m</t>
    <phoneticPr fontId="2" type="noConversion"/>
  </si>
  <si>
    <t>Abundance: F7: Sample</t>
  </si>
  <si>
    <t>Abundance: F14: Sample</t>
  </si>
  <si>
    <t>Abundance: F21: Sample</t>
  </si>
  <si>
    <t>Abundance: F3: Sample</t>
  </si>
  <si>
    <t>30m</t>
    <phoneticPr fontId="2" type="noConversion"/>
  </si>
  <si>
    <t>Abundance: F8: Sample</t>
  </si>
  <si>
    <t>Abundance: F15: Sample</t>
  </si>
  <si>
    <t>Abundance: F22: Sample</t>
  </si>
  <si>
    <t>Abundance: F4: Sample</t>
  </si>
  <si>
    <t>2h</t>
    <phoneticPr fontId="2" type="noConversion"/>
  </si>
  <si>
    <t>Abundance: F9: Sample</t>
  </si>
  <si>
    <t>Abundance: F16: Sample</t>
  </si>
  <si>
    <t>Abundance: F23: Sample</t>
  </si>
  <si>
    <t>Abundance: F5: Sample</t>
  </si>
  <si>
    <t>24h</t>
    <phoneticPr fontId="2" type="noConversion"/>
  </si>
  <si>
    <t>Abundance: F10: Sample</t>
  </si>
  <si>
    <t>Abundance: F17: Sample</t>
  </si>
  <si>
    <t>Abundance: F24: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</si>
</sst>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A7CDF0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 applyNumberFormat="0" applyFont="0" applyFill="0"/>
  </cellStyleXfs>
  <cellXfs count="6">
    <xf numFmtId="0" fontId="0" fillId="0" borderId="0" xfId="0"/>
    <xf numFmtId="176" fontId="0" fillId="0" borderId="0" xfId="0" applyNumberFormat="1"/>
    <xf numFmtId="0" fontId="1" fillId="0" borderId="0" xfId="0" applyFont="1"/>
    <xf numFmtId="0" fontId="0" fillId="2" borderId="1" xfId="0" applyFill="1" applyBorder="1"/>
    <xf numFmtId="0" fontId="0" fillId="3" borderId="1" xfId="0" applyFill="1" applyBorder="1"/>
    <xf numFmtId="0" fontId="0" fillId="3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82395-6F3C-46F9-9422-CD65E2F64603}">
  <dimension ref="A1:J25"/>
  <sheetViews>
    <sheetView tabSelected="1" workbookViewId="0">
      <selection activeCell="H1" sqref="H1"/>
    </sheetView>
  </sheetViews>
  <sheetFormatPr defaultRowHeight="14.4" x14ac:dyDescent="0.3"/>
  <cols>
    <col min="1" max="1" width="18.21875" style="1" customWidth="1"/>
    <col min="2" max="2" width="17.77734375" style="1" customWidth="1"/>
    <col min="3" max="8" width="18.21875" style="1" customWidth="1"/>
  </cols>
  <sheetData>
    <row r="1" spans="1:10" x14ac:dyDescent="0.3">
      <c r="A1"/>
      <c r="B1" s="2" t="s">
        <v>2</v>
      </c>
      <c r="C1" s="2" t="s">
        <v>0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</v>
      </c>
      <c r="I1" s="2" t="s">
        <v>7</v>
      </c>
      <c r="J1" s="2" t="s">
        <v>8</v>
      </c>
    </row>
    <row r="2" spans="1:10" x14ac:dyDescent="0.3">
      <c r="A2" s="3" t="s">
        <v>9</v>
      </c>
      <c r="B2" s="4">
        <v>15307301358.2813</v>
      </c>
      <c r="C2" s="4">
        <v>690292.9375</v>
      </c>
      <c r="D2" s="4">
        <v>8174470.5</v>
      </c>
      <c r="E2" s="5">
        <f>B2/MEDIAN(B:B)</f>
        <v>1.9691421886377882</v>
      </c>
      <c r="F2" s="5">
        <f>C2/E2</f>
        <v>350555.15111254121</v>
      </c>
      <c r="G2" s="5">
        <f>D2/E2</f>
        <v>4151285.0352644818</v>
      </c>
      <c r="H2" s="2" t="s">
        <v>10</v>
      </c>
      <c r="I2" s="2" t="s">
        <v>11</v>
      </c>
      <c r="J2" s="2">
        <v>1</v>
      </c>
    </row>
    <row r="3" spans="1:10" x14ac:dyDescent="0.3">
      <c r="A3" s="3" t="s">
        <v>12</v>
      </c>
      <c r="B3" s="4">
        <v>15741942945.679701</v>
      </c>
      <c r="C3" s="4">
        <v>4944450</v>
      </c>
      <c r="D3" s="4">
        <v>7220439</v>
      </c>
      <c r="E3" s="5">
        <f t="shared" ref="E3:E25" si="0">B3/MEDIAN(B:B)</f>
        <v>2.025054793129609</v>
      </c>
      <c r="F3" s="5">
        <f t="shared" ref="F3:F25" si="1">C3/E3</f>
        <v>2441637.6370530836</v>
      </c>
      <c r="G3" s="5">
        <f t="shared" ref="G3:G24" si="2">D3/E3</f>
        <v>3565552.41097512</v>
      </c>
      <c r="H3" s="2" t="s">
        <v>10</v>
      </c>
      <c r="I3" s="2" t="s">
        <v>13</v>
      </c>
      <c r="J3" s="2">
        <v>1</v>
      </c>
    </row>
    <row r="4" spans="1:10" x14ac:dyDescent="0.3">
      <c r="A4" s="3" t="s">
        <v>14</v>
      </c>
      <c r="B4" s="4">
        <v>11167552800.5977</v>
      </c>
      <c r="C4" s="4">
        <v>580533.640625</v>
      </c>
      <c r="D4" s="4">
        <v>1611426.59375</v>
      </c>
      <c r="E4" s="5">
        <f t="shared" si="0"/>
        <v>1.4366019750176333</v>
      </c>
      <c r="F4" s="5">
        <f t="shared" si="1"/>
        <v>404101.93687633926</v>
      </c>
      <c r="G4" s="5">
        <f t="shared" si="2"/>
        <v>1121693.1493709111</v>
      </c>
      <c r="H4" s="2" t="s">
        <v>10</v>
      </c>
      <c r="I4" s="2" t="s">
        <v>15</v>
      </c>
      <c r="J4" s="2">
        <v>1</v>
      </c>
    </row>
    <row r="5" spans="1:10" x14ac:dyDescent="0.3">
      <c r="A5" s="3" t="s">
        <v>16</v>
      </c>
      <c r="B5" s="4">
        <v>18450792732.078098</v>
      </c>
      <c r="C5" s="4">
        <v>16657915.5</v>
      </c>
      <c r="D5" s="4">
        <v>5876907.5</v>
      </c>
      <c r="E5" s="5">
        <f t="shared" si="0"/>
        <v>2.3735231659818736</v>
      </c>
      <c r="F5" s="5">
        <f t="shared" si="1"/>
        <v>7018223.2635209998</v>
      </c>
      <c r="G5" s="5">
        <f t="shared" si="2"/>
        <v>2476027.0235529193</v>
      </c>
      <c r="H5" s="2" t="s">
        <v>10</v>
      </c>
      <c r="I5" s="2" t="s">
        <v>17</v>
      </c>
      <c r="J5" s="2">
        <v>1</v>
      </c>
    </row>
    <row r="6" spans="1:10" x14ac:dyDescent="0.3">
      <c r="A6" s="3" t="s">
        <v>18</v>
      </c>
      <c r="B6" s="4">
        <v>3690820915.2617202</v>
      </c>
      <c r="C6" s="4">
        <v>253774416.625</v>
      </c>
      <c r="D6" s="4">
        <v>1117948.5625</v>
      </c>
      <c r="E6" s="5">
        <f t="shared" si="0"/>
        <v>0.47478984079820913</v>
      </c>
      <c r="F6" s="5">
        <f t="shared" si="1"/>
        <v>534498413.44195253</v>
      </c>
      <c r="G6" s="5">
        <f t="shared" si="2"/>
        <v>2354617.6991077205</v>
      </c>
      <c r="H6" s="2" t="s">
        <v>19</v>
      </c>
      <c r="I6" s="2" t="s">
        <v>15</v>
      </c>
      <c r="J6" s="2">
        <v>2</v>
      </c>
    </row>
    <row r="7" spans="1:10" x14ac:dyDescent="0.3">
      <c r="A7" s="3" t="s">
        <v>20</v>
      </c>
      <c r="B7" s="4">
        <v>2240522320.5</v>
      </c>
      <c r="C7" s="4">
        <v>241148128.6875</v>
      </c>
      <c r="D7" s="4">
        <v>1169242.875</v>
      </c>
      <c r="E7" s="5">
        <f t="shared" si="0"/>
        <v>0.28822239287098966</v>
      </c>
      <c r="F7" s="5">
        <f t="shared" si="1"/>
        <v>836673813.8748281</v>
      </c>
      <c r="G7" s="5">
        <f t="shared" si="2"/>
        <v>4056738.4905563574</v>
      </c>
      <c r="H7" s="2" t="s">
        <v>19</v>
      </c>
      <c r="I7" s="2" t="s">
        <v>15</v>
      </c>
      <c r="J7" s="2">
        <v>2</v>
      </c>
    </row>
    <row r="8" spans="1:10" x14ac:dyDescent="0.3">
      <c r="A8" s="3" t="s">
        <v>21</v>
      </c>
      <c r="B8" s="4">
        <v>7778035965.6757803</v>
      </c>
      <c r="C8" s="4">
        <v>957028438</v>
      </c>
      <c r="D8" s="4">
        <v>1306096.125</v>
      </c>
      <c r="E8" s="5">
        <f t="shared" si="0"/>
        <v>1.0005721064914033</v>
      </c>
      <c r="F8" s="5">
        <f t="shared" si="1"/>
        <v>956481228.88005233</v>
      </c>
      <c r="G8" s="5">
        <f t="shared" si="2"/>
        <v>1305349.3261769454</v>
      </c>
      <c r="H8" s="2" t="s">
        <v>19</v>
      </c>
      <c r="I8" s="2" t="s">
        <v>17</v>
      </c>
      <c r="J8" s="2">
        <v>2</v>
      </c>
    </row>
    <row r="9" spans="1:10" x14ac:dyDescent="0.3">
      <c r="A9" s="3" t="s">
        <v>22</v>
      </c>
      <c r="B9" s="4">
        <v>8217077267.8281298</v>
      </c>
      <c r="C9" s="4">
        <v>362789919.8125</v>
      </c>
      <c r="D9" s="4">
        <v>1589396.25</v>
      </c>
      <c r="E9" s="5">
        <f t="shared" si="0"/>
        <v>1.0570506934341597</v>
      </c>
      <c r="F9" s="5">
        <f t="shared" si="1"/>
        <v>343209575.53498548</v>
      </c>
      <c r="G9" s="5">
        <f t="shared" si="2"/>
        <v>1503614.0270967982</v>
      </c>
      <c r="H9" s="2" t="s">
        <v>19</v>
      </c>
      <c r="I9" s="2" t="s">
        <v>17</v>
      </c>
      <c r="J9" s="2">
        <v>2</v>
      </c>
    </row>
    <row r="10" spans="1:10" x14ac:dyDescent="0.3">
      <c r="A10" s="3" t="s">
        <v>23</v>
      </c>
      <c r="B10" s="4">
        <v>6797089972.21875</v>
      </c>
      <c r="C10" s="4">
        <v>1027785818.8125</v>
      </c>
      <c r="D10" s="4">
        <v>277469680.375</v>
      </c>
      <c r="E10" s="5">
        <f t="shared" si="0"/>
        <v>0.87438251269690781</v>
      </c>
      <c r="F10" s="5">
        <f t="shared" si="1"/>
        <v>1175441873.4226987</v>
      </c>
      <c r="G10" s="5">
        <f t="shared" si="2"/>
        <v>317332147.36784297</v>
      </c>
      <c r="H10" s="2" t="s">
        <v>24</v>
      </c>
      <c r="I10" s="2" t="s">
        <v>11</v>
      </c>
      <c r="J10" s="2">
        <v>3</v>
      </c>
    </row>
    <row r="11" spans="1:10" x14ac:dyDescent="0.3">
      <c r="A11" s="3" t="s">
        <v>25</v>
      </c>
      <c r="B11" s="4">
        <v>4951643745.5722704</v>
      </c>
      <c r="C11" s="4">
        <v>432701581.8125</v>
      </c>
      <c r="D11" s="4">
        <v>3338709.40625</v>
      </c>
      <c r="E11" s="5">
        <f t="shared" si="0"/>
        <v>0.6369829909460657</v>
      </c>
      <c r="F11" s="5">
        <f t="shared" si="1"/>
        <v>679298486.71443963</v>
      </c>
      <c r="G11" s="5">
        <f t="shared" si="2"/>
        <v>5241442.0066244649</v>
      </c>
      <c r="H11" s="2" t="s">
        <v>24</v>
      </c>
      <c r="I11" s="2" t="s">
        <v>13</v>
      </c>
      <c r="J11" s="2">
        <v>3</v>
      </c>
    </row>
    <row r="12" spans="1:10" x14ac:dyDescent="0.3">
      <c r="A12" s="3" t="s">
        <v>26</v>
      </c>
      <c r="B12" s="4">
        <v>5432296919.21875</v>
      </c>
      <c r="C12" s="4">
        <v>347983852.8125</v>
      </c>
      <c r="D12" s="4">
        <v>205508828.125</v>
      </c>
      <c r="E12" s="5">
        <f t="shared" si="0"/>
        <v>0.69881455878267085</v>
      </c>
      <c r="F12" s="5">
        <f t="shared" si="1"/>
        <v>497963083.96706128</v>
      </c>
      <c r="G12" s="5">
        <f t="shared" si="2"/>
        <v>294082064.46499151</v>
      </c>
      <c r="H12" s="2" t="s">
        <v>24</v>
      </c>
      <c r="I12" s="2" t="s">
        <v>15</v>
      </c>
      <c r="J12" s="2">
        <v>3</v>
      </c>
    </row>
    <row r="13" spans="1:10" x14ac:dyDescent="0.3">
      <c r="A13" s="3" t="s">
        <v>27</v>
      </c>
      <c r="B13" s="4">
        <v>6958018169.5</v>
      </c>
      <c r="C13" s="4">
        <v>310202662.375</v>
      </c>
      <c r="D13" s="4">
        <v>1758715.625</v>
      </c>
      <c r="E13" s="5">
        <f t="shared" si="0"/>
        <v>0.89508443102926594</v>
      </c>
      <c r="F13" s="5">
        <f t="shared" si="1"/>
        <v>346562460.05563414</v>
      </c>
      <c r="G13" s="5">
        <f t="shared" si="2"/>
        <v>1964860.0333463922</v>
      </c>
      <c r="H13" s="2" t="s">
        <v>24</v>
      </c>
      <c r="I13" s="2" t="s">
        <v>17</v>
      </c>
      <c r="J13" s="2">
        <v>3</v>
      </c>
    </row>
    <row r="14" spans="1:10" x14ac:dyDescent="0.3">
      <c r="A14" s="3" t="s">
        <v>28</v>
      </c>
      <c r="B14" s="4">
        <v>10361948996.085899</v>
      </c>
      <c r="C14" s="4">
        <v>1428957116.75</v>
      </c>
      <c r="D14" s="4">
        <v>469408401.5</v>
      </c>
      <c r="E14" s="5">
        <f t="shared" si="0"/>
        <v>1.3329685257465065</v>
      </c>
      <c r="F14" s="5">
        <f t="shared" si="1"/>
        <v>1072011145.9118937</v>
      </c>
      <c r="G14" s="5">
        <f t="shared" si="2"/>
        <v>352152652.09440392</v>
      </c>
      <c r="H14" s="2" t="s">
        <v>29</v>
      </c>
      <c r="I14" s="2" t="s">
        <v>11</v>
      </c>
      <c r="J14" s="2">
        <v>4</v>
      </c>
    </row>
    <row r="15" spans="1:10" x14ac:dyDescent="0.3">
      <c r="A15" s="3" t="s">
        <v>30</v>
      </c>
      <c r="B15" s="4">
        <v>4456603783.5156298</v>
      </c>
      <c r="C15" s="4">
        <v>448812921.1875</v>
      </c>
      <c r="D15" s="4">
        <v>201950174.6875</v>
      </c>
      <c r="E15" s="5">
        <f t="shared" si="0"/>
        <v>0.57330069636446668</v>
      </c>
      <c r="F15" s="5">
        <f t="shared" si="1"/>
        <v>782857798.76704431</v>
      </c>
      <c r="G15" s="5">
        <f t="shared" si="2"/>
        <v>352258729.08954823</v>
      </c>
      <c r="H15" s="2" t="s">
        <v>29</v>
      </c>
      <c r="I15" s="2" t="s">
        <v>13</v>
      </c>
      <c r="J15" s="2">
        <v>4</v>
      </c>
    </row>
    <row r="16" spans="1:10" x14ac:dyDescent="0.3">
      <c r="A16" s="3" t="s">
        <v>31</v>
      </c>
      <c r="B16" s="4">
        <v>5189210542.3945303</v>
      </c>
      <c r="C16" s="4">
        <v>308960641.1875</v>
      </c>
      <c r="D16" s="4">
        <v>188912328.125</v>
      </c>
      <c r="E16" s="5">
        <f t="shared" si="0"/>
        <v>0.66754375350589934</v>
      </c>
      <c r="F16" s="5">
        <f t="shared" si="1"/>
        <v>462832045.93685049</v>
      </c>
      <c r="G16" s="5">
        <f t="shared" si="2"/>
        <v>282996173.8580339</v>
      </c>
      <c r="H16" s="2" t="s">
        <v>29</v>
      </c>
      <c r="I16" s="2" t="s">
        <v>15</v>
      </c>
      <c r="J16" s="2">
        <v>4</v>
      </c>
    </row>
    <row r="17" spans="1:10" x14ac:dyDescent="0.3">
      <c r="A17" s="3" t="s">
        <v>32</v>
      </c>
      <c r="B17" s="4">
        <v>5037311976.5625</v>
      </c>
      <c r="C17" s="4">
        <v>426458956.3125</v>
      </c>
      <c r="D17" s="4">
        <v>226068101.125</v>
      </c>
      <c r="E17" s="5">
        <f t="shared" si="0"/>
        <v>0.64800341341769652</v>
      </c>
      <c r="F17" s="5">
        <f t="shared" si="1"/>
        <v>658112206.63680184</v>
      </c>
      <c r="G17" s="5">
        <f t="shared" si="2"/>
        <v>348868688.71982121</v>
      </c>
      <c r="H17" s="2" t="s">
        <v>29</v>
      </c>
      <c r="I17" s="2" t="s">
        <v>17</v>
      </c>
      <c r="J17" s="2">
        <v>4</v>
      </c>
    </row>
    <row r="18" spans="1:10" x14ac:dyDescent="0.3">
      <c r="A18" s="3" t="s">
        <v>33</v>
      </c>
      <c r="B18" s="4">
        <v>2503893805.58008</v>
      </c>
      <c r="C18" s="4">
        <v>551976275.5625</v>
      </c>
      <c r="D18" s="4">
        <v>271923962.75</v>
      </c>
      <c r="E18" s="5">
        <f t="shared" si="0"/>
        <v>0.32210268897392097</v>
      </c>
      <c r="F18" s="5">
        <f t="shared" si="1"/>
        <v>1713665531.0790987</v>
      </c>
      <c r="G18" s="5">
        <f t="shared" si="2"/>
        <v>844215127.84084928</v>
      </c>
      <c r="H18" s="2" t="s">
        <v>34</v>
      </c>
      <c r="I18" s="2" t="s">
        <v>11</v>
      </c>
      <c r="J18" s="2">
        <v>5</v>
      </c>
    </row>
    <row r="19" spans="1:10" x14ac:dyDescent="0.3">
      <c r="A19" s="3" t="s">
        <v>35</v>
      </c>
      <c r="B19" s="4">
        <v>3101739636.9355502</v>
      </c>
      <c r="C19" s="4">
        <v>933064936.0625</v>
      </c>
      <c r="D19" s="4">
        <v>309079170.5</v>
      </c>
      <c r="E19" s="5">
        <f t="shared" si="0"/>
        <v>0.39901000406943232</v>
      </c>
      <c r="F19" s="5">
        <f t="shared" si="1"/>
        <v>2338449980.066505</v>
      </c>
      <c r="G19" s="5">
        <f t="shared" si="2"/>
        <v>774615090.71892011</v>
      </c>
      <c r="H19" s="2" t="s">
        <v>34</v>
      </c>
      <c r="I19" s="2" t="s">
        <v>13</v>
      </c>
      <c r="J19" s="2">
        <v>5</v>
      </c>
    </row>
    <row r="20" spans="1:10" x14ac:dyDescent="0.3">
      <c r="A20" s="3" t="s">
        <v>36</v>
      </c>
      <c r="B20" s="4">
        <v>8613980260.4531307</v>
      </c>
      <c r="C20" s="4">
        <v>1526211657.875</v>
      </c>
      <c r="D20" s="4">
        <v>488880796.5625</v>
      </c>
      <c r="E20" s="5">
        <f t="shared" si="0"/>
        <v>1.1081085781181674</v>
      </c>
      <c r="F20" s="5">
        <f t="shared" si="1"/>
        <v>1377312375.3512235</v>
      </c>
      <c r="G20" s="5">
        <f t="shared" si="2"/>
        <v>441184921.96201223</v>
      </c>
      <c r="H20" s="2" t="s">
        <v>34</v>
      </c>
      <c r="I20" s="2" t="s">
        <v>15</v>
      </c>
      <c r="J20" s="2">
        <v>5</v>
      </c>
    </row>
    <row r="21" spans="1:10" x14ac:dyDescent="0.3">
      <c r="A21" s="3" t="s">
        <v>37</v>
      </c>
      <c r="B21" s="4">
        <v>7769141324.625</v>
      </c>
      <c r="C21" s="4">
        <v>922889976.3125</v>
      </c>
      <c r="D21" s="4">
        <v>359309750.75</v>
      </c>
      <c r="E21" s="5">
        <f t="shared" si="0"/>
        <v>0.99942789350859651</v>
      </c>
      <c r="F21" s="5">
        <f t="shared" si="1"/>
        <v>923418269.8989898</v>
      </c>
      <c r="G21" s="5">
        <f t="shared" si="2"/>
        <v>359515431.86232817</v>
      </c>
      <c r="H21" s="2" t="s">
        <v>34</v>
      </c>
      <c r="I21" s="2" t="s">
        <v>17</v>
      </c>
      <c r="J21" s="2">
        <v>5</v>
      </c>
    </row>
    <row r="22" spans="1:10" x14ac:dyDescent="0.3">
      <c r="A22" s="3" t="s">
        <v>38</v>
      </c>
      <c r="B22" s="4">
        <v>9371191071.46875</v>
      </c>
      <c r="C22" s="4">
        <v>766139.625</v>
      </c>
      <c r="D22" s="4">
        <v>5089823.5</v>
      </c>
      <c r="E22" s="5">
        <f t="shared" si="0"/>
        <v>1.2055167181138451</v>
      </c>
      <c r="F22" s="5">
        <f t="shared" si="1"/>
        <v>635527.9968233906</v>
      </c>
      <c r="G22" s="5">
        <f>D22/E22</f>
        <v>4222109.427037688</v>
      </c>
      <c r="H22" s="2" t="s">
        <v>39</v>
      </c>
      <c r="I22" s="2" t="s">
        <v>11</v>
      </c>
      <c r="J22" s="2">
        <v>6</v>
      </c>
    </row>
    <row r="23" spans="1:10" x14ac:dyDescent="0.3">
      <c r="A23" s="3" t="s">
        <v>40</v>
      </c>
      <c r="B23" s="4">
        <v>9339968657.6210899</v>
      </c>
      <c r="C23" s="4">
        <v>323606.34375</v>
      </c>
      <c r="D23" s="4">
        <v>7184326.96875</v>
      </c>
      <c r="E23" s="5">
        <f t="shared" si="0"/>
        <v>1.2015002444781917</v>
      </c>
      <c r="F23" s="5">
        <f t="shared" si="1"/>
        <v>269335.22921632143</v>
      </c>
      <c r="G23" s="5">
        <f t="shared" si="2"/>
        <v>5979463.592926803</v>
      </c>
      <c r="H23" s="2" t="s">
        <v>39</v>
      </c>
      <c r="I23" s="2" t="s">
        <v>13</v>
      </c>
      <c r="J23" s="2">
        <v>6</v>
      </c>
    </row>
    <row r="24" spans="1:10" x14ac:dyDescent="0.3">
      <c r="A24" s="3" t="s">
        <v>41</v>
      </c>
      <c r="B24" s="4">
        <v>12465717130.179701</v>
      </c>
      <c r="C24" s="4">
        <v>699042.625</v>
      </c>
      <c r="D24" s="4">
        <v>4404141</v>
      </c>
      <c r="E24" s="5">
        <f t="shared" si="0"/>
        <v>1.6035987623240817</v>
      </c>
      <c r="F24" s="5">
        <f t="shared" si="1"/>
        <v>435921.15523142688</v>
      </c>
      <c r="G24" s="5">
        <f t="shared" si="2"/>
        <v>2746410.8251225618</v>
      </c>
      <c r="H24" s="2" t="s">
        <v>39</v>
      </c>
      <c r="I24" s="2" t="s">
        <v>15</v>
      </c>
      <c r="J24" s="2">
        <v>6</v>
      </c>
    </row>
    <row r="25" spans="1:10" x14ac:dyDescent="0.3">
      <c r="A25" s="3" t="s">
        <v>42</v>
      </c>
      <c r="B25" s="4">
        <v>14694498736.6602</v>
      </c>
      <c r="C25" s="4">
        <v>1945010.625</v>
      </c>
      <c r="D25" s="4">
        <v>2713701.96875</v>
      </c>
      <c r="E25" s="5">
        <f t="shared" si="0"/>
        <v>1.890310821351149</v>
      </c>
      <c r="F25" s="5">
        <f t="shared" si="1"/>
        <v>1028936.9362070059</v>
      </c>
      <c r="G25" s="5">
        <f>D25/E25</f>
        <v>1435585.0572819081</v>
      </c>
      <c r="H25" s="2" t="s">
        <v>39</v>
      </c>
      <c r="I25" s="2" t="s">
        <v>17</v>
      </c>
      <c r="J25" s="2">
        <v>6</v>
      </c>
    </row>
  </sheetData>
  <sortState xmlns:xlrd2="http://schemas.microsoft.com/office/spreadsheetml/2017/richdata2" ref="A2:H19">
    <sortCondition ref="D1:D19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SPSS-2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Exported from file MPKMKK.pdResult using Thermo Proteome Discoverer 2.5.0.400</dc:description>
  <cp:lastModifiedBy>zhaoguo deng</cp:lastModifiedBy>
  <dcterms:modified xsi:type="dcterms:W3CDTF">2025-11-03T08:12:45Z</dcterms:modified>
</cp:coreProperties>
</file>